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MyFiles\Eclipse\Projects\Work\GRAD.QAAutomation\src\Config\"/>
    </mc:Choice>
  </mc:AlternateContent>
  <bookViews>
    <workbookView xWindow="240" yWindow="60" windowWidth="20115" windowHeight="8010" tabRatio="872" activeTab="2"/>
  </bookViews>
  <sheets>
    <sheet name="FL8" sheetId="31" r:id="rId1"/>
    <sheet name="FL8_QA" sheetId="32" r:id="rId2"/>
    <sheet name="ItemReview" sheetId="5" r:id="rId3"/>
    <sheet name="Translation" sheetId="8" r:id="rId4"/>
    <sheet name="Test_Directions" sheetId="9" r:id="rId5"/>
  </sheets>
  <functionGroups builtInGroupCount="18"/>
  <calcPr calcId="152511"/>
</workbook>
</file>

<file path=xl/calcChain.xml><?xml version="1.0" encoding="utf-8"?>
<calcChain xmlns="http://schemas.openxmlformats.org/spreadsheetml/2006/main">
  <c r="K145" i="31" l="1"/>
  <c r="K144" i="31"/>
  <c r="K143" i="31"/>
  <c r="K142" i="31"/>
  <c r="K141" i="31"/>
  <c r="K140" i="31"/>
  <c r="K139" i="31"/>
  <c r="K138" i="31"/>
  <c r="K137" i="31"/>
  <c r="K136" i="31"/>
  <c r="K135" i="31"/>
  <c r="K134" i="31"/>
  <c r="K133" i="31"/>
  <c r="K132" i="31"/>
  <c r="K131" i="31"/>
  <c r="K130" i="31"/>
  <c r="K129" i="31"/>
  <c r="K128" i="31"/>
  <c r="K127" i="31"/>
  <c r="K126" i="31"/>
  <c r="K125" i="31"/>
  <c r="K124" i="31"/>
  <c r="K123" i="31"/>
  <c r="K122" i="31"/>
  <c r="K121" i="31"/>
  <c r="K120" i="31"/>
  <c r="K119" i="31"/>
  <c r="K118" i="31"/>
  <c r="K117" i="31"/>
  <c r="K116" i="31"/>
  <c r="K115" i="31"/>
  <c r="K114" i="31"/>
  <c r="K113" i="31"/>
  <c r="K112" i="31"/>
  <c r="K111" i="31"/>
  <c r="K110" i="31"/>
  <c r="K109" i="31"/>
  <c r="K108" i="31"/>
  <c r="K107" i="31"/>
  <c r="K106" i="31"/>
  <c r="K105" i="31"/>
  <c r="K104" i="31"/>
  <c r="K103" i="31"/>
  <c r="K102" i="31"/>
  <c r="K101" i="31"/>
  <c r="K100" i="31"/>
  <c r="K99" i="31"/>
  <c r="K98" i="31"/>
  <c r="K97" i="31"/>
  <c r="K96" i="31"/>
  <c r="K95" i="31"/>
  <c r="K94" i="31"/>
  <c r="K93" i="31"/>
  <c r="K92" i="31"/>
  <c r="K91" i="31"/>
  <c r="K90" i="31"/>
  <c r="K89" i="31"/>
  <c r="K88" i="31"/>
  <c r="K87" i="31"/>
  <c r="K86" i="31"/>
  <c r="K85" i="31"/>
  <c r="K84" i="31"/>
  <c r="K83" i="31"/>
  <c r="K82" i="31"/>
  <c r="K81" i="31"/>
  <c r="K80" i="31"/>
  <c r="K79" i="31"/>
  <c r="K78" i="31"/>
  <c r="K77" i="31"/>
  <c r="K76" i="31"/>
  <c r="K75" i="31"/>
  <c r="K74" i="31"/>
  <c r="K73" i="31"/>
  <c r="K72" i="31"/>
  <c r="K71" i="31"/>
  <c r="K70" i="31"/>
  <c r="K69" i="31"/>
  <c r="K68" i="31"/>
  <c r="K67" i="31"/>
  <c r="K66" i="31"/>
  <c r="K65" i="31"/>
  <c r="K64" i="31"/>
  <c r="K63" i="31"/>
  <c r="K62" i="31"/>
  <c r="K61" i="31"/>
  <c r="K60" i="31"/>
  <c r="K59" i="31"/>
  <c r="K58" i="31"/>
  <c r="K57" i="31"/>
  <c r="K56" i="31"/>
  <c r="K55" i="31"/>
  <c r="K54" i="31"/>
  <c r="K53" i="31"/>
  <c r="K52" i="31"/>
  <c r="K51" i="31"/>
  <c r="K50" i="31"/>
  <c r="K49" i="31"/>
  <c r="K48" i="31"/>
  <c r="K47" i="31"/>
  <c r="K46" i="31"/>
  <c r="K45" i="31"/>
  <c r="K44" i="31"/>
  <c r="K43" i="31"/>
  <c r="K42" i="31"/>
  <c r="K41" i="31"/>
  <c r="K40" i="31"/>
  <c r="K39" i="31"/>
  <c r="K38" i="31"/>
  <c r="K37" i="31"/>
  <c r="K36" i="31"/>
  <c r="K35" i="31"/>
  <c r="K34" i="31"/>
  <c r="K33" i="31"/>
  <c r="K32" i="31"/>
  <c r="K31" i="31"/>
  <c r="K30" i="31"/>
  <c r="K29" i="31"/>
  <c r="K28" i="31"/>
  <c r="K27" i="31"/>
  <c r="K26" i="31"/>
  <c r="K25" i="31"/>
  <c r="K24" i="31"/>
  <c r="K23" i="31"/>
  <c r="K22" i="31"/>
  <c r="K21" i="31"/>
  <c r="K20" i="31"/>
  <c r="K19" i="31"/>
  <c r="K18" i="31"/>
  <c r="K17" i="31"/>
  <c r="K16" i="31"/>
  <c r="K15" i="31"/>
  <c r="K14" i="31"/>
  <c r="K13" i="31"/>
  <c r="K12" i="31"/>
  <c r="K11" i="31"/>
  <c r="K10" i="31"/>
  <c r="K9" i="31"/>
  <c r="K8" i="31"/>
  <c r="K7" i="31"/>
  <c r="K6" i="31"/>
  <c r="K5" i="31"/>
  <c r="K4" i="31"/>
  <c r="K3" i="31"/>
  <c r="K2" i="31"/>
  <c r="F47" i="8" l="1"/>
  <c r="F48" i="8"/>
  <c r="F49" i="8"/>
  <c r="F50" i="8"/>
  <c r="F51" i="8"/>
  <c r="F52" i="8"/>
  <c r="F53" i="8"/>
  <c r="F54" i="8"/>
  <c r="F55" i="8"/>
  <c r="F56" i="8"/>
  <c r="F57" i="8"/>
  <c r="F58" i="8"/>
  <c r="F59" i="8"/>
  <c r="F60" i="8"/>
  <c r="F61" i="8"/>
  <c r="F62" i="8"/>
  <c r="F63" i="8"/>
  <c r="F64" i="8"/>
  <c r="F65" i="8"/>
  <c r="F66" i="8"/>
  <c r="F67" i="8"/>
  <c r="F68" i="8"/>
  <c r="F69" i="8"/>
  <c r="F70" i="8"/>
  <c r="F71" i="8"/>
  <c r="F72" i="8"/>
  <c r="F73" i="8"/>
  <c r="F74" i="8"/>
  <c r="F75" i="8"/>
  <c r="F76" i="8"/>
  <c r="F77" i="8"/>
  <c r="F78" i="8"/>
  <c r="F79" i="8"/>
  <c r="F80" i="8"/>
  <c r="F81" i="8"/>
  <c r="F82" i="8"/>
  <c r="F83" i="8"/>
  <c r="F84" i="8"/>
  <c r="F85" i="8"/>
  <c r="F86" i="8"/>
  <c r="F87" i="8"/>
  <c r="F88" i="8"/>
  <c r="F89" i="8"/>
  <c r="F90" i="8"/>
  <c r="F91" i="8"/>
  <c r="F92" i="8"/>
  <c r="F93" i="8"/>
  <c r="F94" i="8"/>
  <c r="F95" i="8"/>
  <c r="F96" i="8"/>
  <c r="F97" i="8"/>
  <c r="F98" i="8"/>
  <c r="F99" i="8"/>
  <c r="F100" i="8"/>
  <c r="F101" i="8"/>
  <c r="F102" i="8"/>
  <c r="F103" i="8"/>
  <c r="F104" i="8"/>
  <c r="F105" i="8"/>
  <c r="F106" i="8"/>
  <c r="F107" i="8"/>
  <c r="F108" i="8"/>
  <c r="F109" i="8"/>
  <c r="F110" i="8"/>
  <c r="F111" i="8"/>
  <c r="F112" i="8"/>
  <c r="F113" i="8"/>
  <c r="F114" i="8"/>
  <c r="F115" i="8"/>
  <c r="F116" i="8"/>
  <c r="F117" i="8"/>
  <c r="F118" i="8"/>
  <c r="F119" i="8"/>
  <c r="F120" i="8"/>
  <c r="F121" i="8"/>
  <c r="F122" i="8"/>
  <c r="F123" i="8"/>
  <c r="F124" i="8"/>
  <c r="F125" i="8"/>
  <c r="F126" i="8"/>
  <c r="F127" i="8"/>
  <c r="F128" i="8"/>
  <c r="F129" i="8"/>
  <c r="F130" i="8"/>
  <c r="F131" i="8"/>
  <c r="F132" i="8"/>
  <c r="F133" i="8"/>
  <c r="F134" i="8"/>
  <c r="F135" i="8"/>
  <c r="F136" i="8"/>
  <c r="F137" i="8"/>
  <c r="F138" i="8"/>
  <c r="F139" i="8"/>
  <c r="F140" i="8"/>
  <c r="F141" i="8"/>
  <c r="F142" i="8"/>
  <c r="F143" i="8"/>
  <c r="F144" i="8"/>
  <c r="F145" i="8"/>
  <c r="F146" i="8"/>
  <c r="F147" i="8"/>
  <c r="F148" i="8"/>
  <c r="F149" i="8"/>
  <c r="F150" i="8"/>
  <c r="F151" i="8"/>
  <c r="F152" i="8"/>
  <c r="F153" i="8"/>
  <c r="F154" i="8"/>
  <c r="F155" i="8"/>
  <c r="F156" i="8"/>
  <c r="F157" i="8"/>
  <c r="F158" i="8"/>
  <c r="F159" i="8"/>
  <c r="F160" i="8"/>
  <c r="F161" i="8"/>
  <c r="F162" i="8"/>
  <c r="F163" i="8"/>
  <c r="F164" i="8"/>
  <c r="F165" i="8"/>
  <c r="F166" i="8"/>
  <c r="F167" i="8"/>
  <c r="F168" i="8"/>
  <c r="F169" i="8"/>
  <c r="F170" i="8"/>
  <c r="F171" i="8"/>
  <c r="F172" i="8"/>
  <c r="F173" i="8"/>
  <c r="F174" i="8"/>
  <c r="F175" i="8"/>
  <c r="F176" i="8"/>
  <c r="F177" i="8"/>
  <c r="F178" i="8"/>
  <c r="F179" i="8"/>
  <c r="F180" i="8"/>
  <c r="F181" i="8"/>
  <c r="F182" i="8"/>
  <c r="F183" i="8"/>
  <c r="F184" i="8"/>
  <c r="F185" i="8"/>
  <c r="F186" i="8"/>
  <c r="F187" i="8"/>
  <c r="F188" i="8"/>
  <c r="F189" i="8"/>
  <c r="F190" i="8"/>
  <c r="F191" i="8"/>
  <c r="F192" i="8"/>
  <c r="F193" i="8"/>
  <c r="F194" i="8"/>
  <c r="F195" i="8"/>
  <c r="F196" i="8"/>
  <c r="F197" i="8"/>
  <c r="F198" i="8"/>
  <c r="F199" i="8"/>
  <c r="F200" i="8"/>
  <c r="F201" i="8"/>
  <c r="F202" i="8"/>
  <c r="F2" i="8" l="1"/>
  <c r="F3" i="8"/>
  <c r="F4" i="8"/>
  <c r="F5" i="8"/>
  <c r="F6" i="8"/>
  <c r="F7" i="8"/>
  <c r="F8" i="8"/>
  <c r="F9" i="8"/>
  <c r="F10" i="8"/>
  <c r="F11" i="8"/>
  <c r="F12" i="8"/>
  <c r="F13" i="8"/>
  <c r="F14" i="8"/>
  <c r="F15" i="8"/>
  <c r="F16" i="8"/>
  <c r="F17" i="8"/>
  <c r="F18" i="8"/>
  <c r="F19" i="8"/>
  <c r="F20" i="8"/>
  <c r="F21" i="8"/>
  <c r="F22" i="8"/>
  <c r="F23" i="8"/>
  <c r="F24" i="8"/>
  <c r="F25" i="8"/>
  <c r="F26" i="8"/>
  <c r="F27" i="8"/>
  <c r="F28" i="8"/>
  <c r="F29" i="8"/>
  <c r="F30" i="8"/>
  <c r="F31" i="8"/>
  <c r="F32" i="8"/>
  <c r="F33" i="8"/>
  <c r="F34" i="8"/>
  <c r="F35" i="8"/>
  <c r="F36" i="8"/>
  <c r="F37" i="8"/>
  <c r="F38" i="8"/>
  <c r="F39" i="8"/>
  <c r="F40" i="8"/>
  <c r="F41" i="8"/>
  <c r="F42" i="8"/>
  <c r="F43" i="8"/>
  <c r="F44" i="8"/>
  <c r="F45" i="8"/>
  <c r="F46" i="8"/>
</calcChain>
</file>

<file path=xl/sharedStrings.xml><?xml version="1.0" encoding="utf-8"?>
<sst xmlns="http://schemas.openxmlformats.org/spreadsheetml/2006/main" count="2098" uniqueCount="959">
  <si>
    <t>Pg</t>
  </si>
  <si>
    <t>Question</t>
  </si>
  <si>
    <t>Section</t>
  </si>
  <si>
    <t>phySci</t>
  </si>
  <si>
    <t>verbReas</t>
  </si>
  <si>
    <t>bioSci</t>
  </si>
  <si>
    <t>No</t>
  </si>
  <si>
    <t>Passage I</t>
  </si>
  <si>
    <t>Passage II</t>
  </si>
  <si>
    <t>Passage III</t>
  </si>
  <si>
    <t>Passage IV</t>
  </si>
  <si>
    <t>Passage V</t>
  </si>
  <si>
    <t>Passage VI</t>
  </si>
  <si>
    <t>CorrectAns</t>
  </si>
  <si>
    <t>InputAns</t>
  </si>
  <si>
    <t>PsgQuestion</t>
  </si>
  <si>
    <t>Passage</t>
  </si>
  <si>
    <t>Page</t>
  </si>
  <si>
    <t>ItmRwSection</t>
  </si>
  <si>
    <t>Score</t>
  </si>
  <si>
    <t>Percentile</t>
  </si>
  <si>
    <t>total</t>
  </si>
  <si>
    <t>SectionLabel</t>
  </si>
  <si>
    <t>PHYSICAL SCIENCES</t>
  </si>
  <si>
    <t>VERBAL REASONING</t>
  </si>
  <si>
    <t>BIOLOGICAL SCIENCES</t>
  </si>
  <si>
    <t>SCORE</t>
  </si>
  <si>
    <t>SheetName</t>
  </si>
  <si>
    <t>Topic</t>
  </si>
  <si>
    <t>Compounds and Stoichiometry</t>
  </si>
  <si>
    <t>Units and Kinematics</t>
  </si>
  <si>
    <t>Redox Reactions and Electrochemistry</t>
  </si>
  <si>
    <t>Fluids/Solids</t>
  </si>
  <si>
    <t>Atomic Phenomena</t>
  </si>
  <si>
    <t>Acids and Bases</t>
  </si>
  <si>
    <t>Solution Chemistry</t>
  </si>
  <si>
    <t>Electrostatics</t>
  </si>
  <si>
    <t>Thermodynamics/Thermochemistry</t>
  </si>
  <si>
    <t>Rate Process/Kinetics</t>
  </si>
  <si>
    <t>Detail</t>
  </si>
  <si>
    <t>Evaluation</t>
  </si>
  <si>
    <t>Application</t>
  </si>
  <si>
    <t>Incorporation</t>
  </si>
  <si>
    <t>Deduction</t>
  </si>
  <si>
    <t>Endocrine System</t>
  </si>
  <si>
    <t>Hydrocarbons</t>
  </si>
  <si>
    <t>Isomerism</t>
  </si>
  <si>
    <t>Circulatory System</t>
  </si>
  <si>
    <t>Amino Acids and Proteins</t>
  </si>
  <si>
    <t>Molecular Biology</t>
  </si>
  <si>
    <t>Generalized Eukaryotic Cell</t>
  </si>
  <si>
    <t>Aromaticity</t>
  </si>
  <si>
    <t>Spectroscopy</t>
  </si>
  <si>
    <t>Microbiology</t>
  </si>
  <si>
    <t>Amines</t>
  </si>
  <si>
    <t>Evolution</t>
  </si>
  <si>
    <t>Reproduction and Development</t>
  </si>
  <si>
    <t>TabLabel</t>
  </si>
  <si>
    <t>None</t>
  </si>
  <si>
    <t>Verbal Reasoning</t>
  </si>
  <si>
    <t>Biological Sciences</t>
  </si>
  <si>
    <t>Physical Sciences</t>
  </si>
  <si>
    <t>Expected_Result</t>
  </si>
  <si>
    <t>ScaledScore</t>
  </si>
  <si>
    <t>Periodic Motion and Waves</t>
  </si>
  <si>
    <t>PageTitle</t>
  </si>
  <si>
    <t>Item_Num</t>
  </si>
  <si>
    <t>Review_ID</t>
  </si>
  <si>
    <t>Title</t>
  </si>
  <si>
    <t>Sections</t>
  </si>
  <si>
    <t>Test_Structure3</t>
  </si>
  <si>
    <t>Test_Structure2</t>
  </si>
  <si>
    <t>Test_Structure1</t>
  </si>
  <si>
    <t>Start_Text</t>
  </si>
  <si>
    <t>Test_Structure4</t>
  </si>
  <si>
    <t>Sheet_Name</t>
  </si>
  <si>
    <t>Test_Directions</t>
  </si>
  <si>
    <t>Test_Procedures</t>
  </si>
  <si>
    <t>Section1</t>
  </si>
  <si>
    <t>Section2</t>
  </si>
  <si>
    <t>Section3</t>
  </si>
  <si>
    <t>Section4</t>
  </si>
  <si>
    <t>Passage_Text</t>
  </si>
  <si>
    <t>Opt_1</t>
  </si>
  <si>
    <t>Opt_2</t>
  </si>
  <si>
    <t>Opt_3</t>
  </si>
  <si>
    <t>Opt_4</t>
  </si>
  <si>
    <t>Opt_5</t>
  </si>
  <si>
    <t>Mark</t>
  </si>
  <si>
    <t>Physical Sciences - 52 questions, 70 minutes</t>
  </si>
  <si>
    <t>Biological Sciences - 52 questions, 70 minutes</t>
  </si>
  <si>
    <t>Passage VII</t>
  </si>
  <si>
    <t>Break_Title</t>
  </si>
  <si>
    <t>This is an authorized break.</t>
  </si>
  <si>
    <t>Break_Message</t>
  </si>
  <si>
    <t>I and II only</t>
  </si>
  <si>
    <t>I and III only</t>
  </si>
  <si>
    <t>II and III only</t>
  </si>
  <si>
    <t>I, II, and III</t>
  </si>
  <si>
    <t/>
  </si>
  <si>
    <t>I only</t>
  </si>
  <si>
    <t>II only</t>
  </si>
  <si>
    <t>III only</t>
  </si>
  <si>
    <t>There is no passage associated with these questions.</t>
  </si>
  <si>
    <t>I, II and III</t>
  </si>
  <si>
    <t>SN2</t>
  </si>
  <si>
    <t>25%</t>
  </si>
  <si>
    <t>50%</t>
  </si>
  <si>
    <t>75%</t>
  </si>
  <si>
    <t>Total</t>
  </si>
  <si>
    <t>Percentile_Num</t>
  </si>
  <si>
    <t>Percentile_th</t>
  </si>
  <si>
    <t>Totals</t>
  </si>
  <si>
    <t>FL8</t>
  </si>
  <si>
    <t>FL9</t>
  </si>
  <si>
    <t>3</t>
  </si>
  <si>
    <t>6</t>
  </si>
  <si>
    <t>A</t>
  </si>
  <si>
    <t>B</t>
  </si>
  <si>
    <t>C</t>
  </si>
  <si>
    <t>D</t>
  </si>
  <si>
    <t>100</t>
  </si>
  <si>
    <t>1000</t>
  </si>
  <si>
    <t>I and III</t>
  </si>
  <si>
    <t>I and II</t>
  </si>
  <si>
    <t>12.5%</t>
  </si>
  <si>
    <t>3:1</t>
  </si>
  <si>
    <t>AC/DC Circuits</t>
  </si>
  <si>
    <t>Bonding</t>
  </si>
  <si>
    <t>Work and Energy</t>
  </si>
  <si>
    <t>Excretory System</t>
  </si>
  <si>
    <t>Digestive System</t>
  </si>
  <si>
    <t>Muscle and Skeletal Systems</t>
  </si>
  <si>
    <t>Hybridization and Bonding</t>
  </si>
  <si>
    <t>Carboxylic Acids and Their Derivatives</t>
  </si>
  <si>
    <t>Nuclear Phenomena</t>
  </si>
  <si>
    <t>Respiratory and Skin Systems</t>
  </si>
  <si>
    <t>100%</t>
  </si>
  <si>
    <t>0</t>
  </si>
  <si>
    <t>HCN</t>
  </si>
  <si>
    <t>The author of the passage would be most likely to agree with which of the following statements?</t>
  </si>
  <si>
    <t>Aldehydes and Ketones</t>
  </si>
  <si>
    <t>9</t>
  </si>
  <si>
    <t>sp3</t>
  </si>
  <si>
    <t>sp3d2</t>
  </si>
  <si>
    <t>sp2</t>
  </si>
  <si>
    <t>+1</t>
  </si>
  <si>
    <t>+2</t>
  </si>
  <si>
    <t>H2O</t>
  </si>
  <si>
    <t>Momentum</t>
  </si>
  <si>
    <t>With which of the following statements is the author most likely to agree?</t>
  </si>
  <si>
    <t>MCAT Full Length 8 - Physical Sciences</t>
  </si>
  <si>
    <t>MCAT Full Length 8 - Verbal Reasoning</t>
  </si>
  <si>
    <t>MCAT Full Length 8 - Biological Sciences</t>
  </si>
  <si>
    <t>MCAT Full Length 8 - MCAT Full Length 8</t>
  </si>
  <si>
    <t>Given the molecular structure below, how many hydrogen bonds is H3BO3 capable of forming?</t>
  </si>
  <si>
    <t>Possible explanations for the low solubility of acetylene in H2O include:</t>
  </si>
  <si>
    <t>Which of the following experimental results would explain the melting point of NH3 being higher than predicted by the trend evident in the following experimental data?</t>
  </si>
  <si>
    <t>X-ray studies of solid ammonia indicate that 3 hydrogen atoms from different nitrogen atoms point toward the lone pair of electrons.</t>
  </si>
  <si>
    <t>X-ray studies of solid ammonia indicate that each nitrogen atom lone electron pair abuts a lone pair from an adjacent molecule.</t>
  </si>
  <si>
    <t>IR studies of ammonia show the H—N bond to have strong basic character.</t>
  </si>
  <si>
    <t>Ammonia is found to act as a Lewis base in water, forming NH4+</t>
  </si>
  <si>
    <t>According to the passage, the crystalline structure of NH4Cl is best described as:</t>
  </si>
  <si>
    <t>simple cubic</t>
  </si>
  <si>
    <t>body centered cubic</t>
  </si>
  <si>
    <t>face centered cubic</t>
  </si>
  <si>
    <t>hexagonal close packing</t>
  </si>
  <si>
    <t>The passage lists two mechanisms for hydrogen bonding to increase the heat of vaporization of pure solutions. Which of the following molecules would be least affected by hydrogen bonding in ΔHvap experiments?</t>
  </si>
  <si>
    <t>H3BO3</t>
  </si>
  <si>
    <t>HCF3</t>
  </si>
  <si>
    <t>Which of the following is NOT a necessary component or condition for hydrogen bonding?</t>
  </si>
  <si>
    <t>aqueous solubility</t>
  </si>
  <si>
    <t>an available lone electron pair</t>
  </si>
  <si>
    <t>a hydrogen atom with some degree of acidity</t>
  </si>
  <si>
    <t>spatial proximity between the two interacting molecules</t>
  </si>
  <si>
    <t>Hydrogen bonding is rarely considered a major component of intramolecular bonding. It is only when molecules like proteins approach a sufficiently large size that hydrogen bonding contributes significantly to molecular geometry. The impact of the hydrogen bond in smaller molecules, therefore, lies not in intramolecular bonding, but in intermolecular bonding. The intermolecular consequences of hydrogen bonding are seen in solubility, physical properties, and crystal structure of molecules.</t>
  </si>
  <si>
    <t>Solid 1 has a large bulk modulus, while solid 2 has a small bulk modulus. If a seismic wave travels through them, which will be able to store more potential energy in its atoms as they are displaced longitudinally from their original positions?</t>
  </si>
  <si>
    <t>Solid 1</t>
  </si>
  <si>
    <t>Solid 2</t>
  </si>
  <si>
    <t>The bulk modulus of the solids will not affect their ability to store potential energy.</t>
  </si>
  <si>
    <t>The solid's ability to store potential energy cannot be determined from the information given.</t>
  </si>
  <si>
    <t>A seismic wave with a frequency of 5000 Hz enters a rock in the Earth's surface. What is the wavelength of the wave in this rock?</t>
  </si>
  <si>
    <t>5.0 m</t>
  </si>
  <si>
    <t>2.0 m</t>
  </si>
  <si>
    <t>1.2 m</t>
  </si>
  <si>
    <t>0.8 m</t>
  </si>
  <si>
    <t>A seismometer detects a wave that passes through the Earth's surface and another that passes through the Earth's core. Which of the following is LEAST likely to be the only explanation for the difference detected in the speeds of the waves?</t>
  </si>
  <si>
    <t>The surface rock may have a smaller bulk modulus.</t>
  </si>
  <si>
    <t>The surface rock may have a larger density.</t>
  </si>
  <si>
    <t>The core rock may have a smaller shear modulus.</t>
  </si>
  <si>
    <t>The core rock may have a lower temperature.</t>
  </si>
  <si>
    <t>The speed of a seismic wave in Soil A is 3 times that in Soil B. Assume that each has the same shear modulus and bulk modulus, what is the ratio of densities of Soil A to Soil B?</t>
  </si>
  <si>
    <t>9:1</t>
  </si>
  <si>
    <t>1:9</t>
  </si>
  <si>
    <t>1:1.7</t>
  </si>
  <si>
    <t>The vertical kinetic energy of an atom within a solid through which a seismic wave is traveling from left to right is:</t>
  </si>
  <si>
    <t>equal to (1/2)mv2, where m is the mass of the solid and v is the speed of the wave traveling through it.</t>
  </si>
  <si>
    <t>zero.</t>
  </si>
  <si>
    <t>dependent on the density of the solid.</t>
  </si>
  <si>
    <t>dependent on the frequency of the sound wave.</t>
  </si>
  <si>
    <t>Refraction seismology uses high frequency, longitudinal waves known as seismic waves to map geologic structures below the Earth's surface. The seismic wave may be generated by an explosion, a dropped weight, a mechanical vibrator, or other sources and travels through various media below the Earth's surface. The seismic wave is detected by a device called a seismometer, which generates a voltage when a wave produces relative motion of a wire coil in the field of a magnet on the surface of the Earth. Data are usually recorded on magnetic tape for subsequent processing and display.</t>
  </si>
  <si>
    <t>A cylinder with a sample of gas is compressed adiabatically by a piston. Which of the following statements are true?</t>
  </si>
  <si>
    <t>A student dissolves 20 mg of solid sodium hydroxide in 30 mL of distilled water. 50mL of an unknown concentration of acetic acid (CH3COOH; KA = 1.8 x 10-5) was required to completely neutralize the base present. Which of the following answer choices correctly solves for the concentration of the acetic acid added?</t>
  </si>
  <si>
    <t>–log (1.8 x 10-5) + log [(20/50)]</t>
  </si>
  <si>
    <t>(20/50)2/(1.8 x 10-5)</t>
  </si>
  <si>
    <t>(20/40)/(50)</t>
  </si>
  <si>
    <t>(20/30)(40)/(80)</t>
  </si>
  <si>
    <t>A stone placed in an open container of water is observed to sink. Assuming the water behaves as an ideal fluid, which of the following must be true?</t>
  </si>
  <si>
    <t>Which of the following is true of the Gibbs free energy, ΔG°?</t>
  </si>
  <si>
    <t>ΔG° = ΔH° + TΔS°</t>
  </si>
  <si>
    <t>ΔG° = ΔS°- TΔH°</t>
  </si>
  <si>
    <t>ΔG° = RT ln Keq</t>
  </si>
  <si>
    <t>ΔG°= -RT ln Keq</t>
  </si>
  <si>
    <t>A cylinder is filled with an ice-water mixture to a height of 15 cm. After a substance is added to the bath, a transfer of heat causes the water-ice mixture to rise H cm in height. Which of the following substances when added could have caused this rise?</t>
  </si>
  <si>
    <t>Cu(s) at 0 °C</t>
  </si>
  <si>
    <t>Hg(l) at –2.5 °C</t>
  </si>
  <si>
    <t>Fe(s) at 75 °C</t>
  </si>
  <si>
    <t>O2(g) at 15 °C</t>
  </si>
  <si>
    <t>A sample of the unknown substance is heated to 68 °C at and plunged into an ice bath at 1 atm. After 10 seconds, before thermal equilibrium is reached, the unknown substance will have lost the most heat if the ice is at:</t>
  </si>
  <si>
    <t>-15 °C</t>
  </si>
  <si>
    <t>-10 °C</t>
  </si>
  <si>
    <t>0 °C</t>
  </si>
  <si>
    <t>32 °C</t>
  </si>
  <si>
    <t>In another experiment, the student adds 3 moles of CaF2 to a water bath at 15 °C. She then cools the bath to -30 °C ice and plunges a piece of Cu(s) at 75 °C into the bath. Compared to a bath of pure ice, this ice bath will require:</t>
  </si>
  <si>
    <t>less heat to be transferred for fusion to occur.</t>
  </si>
  <si>
    <t>more heat to be transferred for fusion to occur.</t>
  </si>
  <si>
    <t>the same amount of heat to be transferred for fusion to occur.</t>
  </si>
  <si>
    <t>the same amount of heat to be transferred for deposition to occur.</t>
  </si>
  <si>
    <t>As the student is constructing the calorimeter, she accidentally punctures the insulating top, exposing the bath to outside air. Consequently, the approximate final temperature of the bath at thermal equilibrium is most likely:</t>
  </si>
  <si>
    <t>8.2 °C.</t>
  </si>
  <si>
    <t>27 °C.</t>
  </si>
  <si>
    <t>75 °C.</t>
  </si>
  <si>
    <t>There is not enough information to determine the final temperature.</t>
  </si>
  <si>
    <t>Calorimetry allows for an accurate measure of heat flow between a system and its surroundings. An ice calorimeter, for example, uses a bath containing a mixture of ice and water which is thermally insulated. This means that the inner contents of the calorimeter do not transfer or absorb any heat from the outside environment. When a heated substance is placed inside the bath, heat will flow into the ice-water mixture at a rate directly proportional to the difference in temperature between the substance and the bath. As heat flows into the bath, some of the ice melts, and the change in volume of the bath can be used to measure the amount of heat transferred. Though this type of calorimeter is common, a bath of pure water may also serve the same purpose. However, instead of measuring changes in volume, in this case the student measures changes in temperature.</t>
  </si>
  <si>
    <t>A defibrillator is a device used to cause complete cessation of heartbeat followed by resumption of normal rhythm. What is the minimum voltage needed between the leads of the defibrillator in order for it to be effective against dry skin?</t>
  </si>
  <si>
    <t>7 V</t>
  </si>
  <si>
    <t>102 V</t>
  </si>
  <si>
    <t>7 × 102 V</t>
  </si>
  <si>
    <t>104 V</t>
  </si>
  <si>
    <t>A person who has come into electrical contact with a live wire would minimize the damage inflicted if:</t>
  </si>
  <si>
    <t>An individual with dry skin picks up a live wire and experiences a current of 1 A. If the wire has a resistance of 15 Ω, how much total energy is dissipated after 45 seconds?</t>
  </si>
  <si>
    <t>15 J</t>
  </si>
  <si>
    <t>675 J</t>
  </si>
  <si>
    <t>10 kJ</t>
  </si>
  <si>
    <t>451 kJ</t>
  </si>
  <si>
    <t>Suppose an individual with dry skin has come in contact with a 1.5 A DC circuit with wires of negligible resistance. In an attempt to rescue the individual, another person, with wet skin, makes contact with the first, forming a parallel circuit. Consequently, the amount of time required for 10 C of charge to pass through the circuit will:</t>
  </si>
  <si>
    <t>increase.</t>
  </si>
  <si>
    <t>decrease.</t>
  </si>
  <si>
    <t>remains the same.</t>
  </si>
  <si>
    <t>There is not enough information to determine a change in current.</t>
  </si>
  <si>
    <t>One would expect a person with high cellular ion concentration to be:</t>
  </si>
  <si>
    <t>less susceptible to damage from an electric shock.</t>
  </si>
  <si>
    <t>more susceptible to damage from an electric shock.</t>
  </si>
  <si>
    <t>just as susceptible to damage from an electric shock.</t>
  </si>
  <si>
    <t>The passage does not provide enough information to determine who would be more susceptible to damage from an electric shock.</t>
  </si>
  <si>
    <t>Which of the following is implied in the passage about a current of 70 mA passing through the heart?</t>
  </si>
  <si>
    <t>It will cause less severe damage than a current of 65 mA, since a larger current reduces the risk of death.</t>
  </si>
  <si>
    <t>It will cause less severe damage than a current of 1.5 A because the effect on the heart would not be as great.</t>
  </si>
  <si>
    <t>It will cause greater damage than a current of 1.5 A because it will cause the heart to stop, resulting in death.</t>
  </si>
  <si>
    <t>It causes the heart to acquire an irregular rhythm, resulting in improper blood flow.</t>
  </si>
  <si>
    <t>When the human body completes an electrical circuit, the result may be an extremely painful shock. The probability that the shock will prove fatal increases as both the magnitudes of the current and the contact time increase. However, not all parts of the body pose the same danger when shocked: current passing through electrically excitable tissue like muscle and nerves often inflicts the most pain and damage.</t>
  </si>
  <si>
    <t>The front end of a 5-m car is even with the back end of a 10-m truck. Both are traveling in adjacent lanes of a highway, the car at 40 m/s and the truck at 30 m/s. How much time elapses until the back end of the car is even with the front end of the truck?</t>
  </si>
  <si>
    <t>0.20 s</t>
  </si>
  <si>
    <t>0.25 s</t>
  </si>
  <si>
    <t>1.00 s</t>
  </si>
  <si>
    <t>1.50 s</t>
  </si>
  <si>
    <t>In a circuit with a 12-V battery and two resistors (5-Ω and 7-Ω) connected in parallel, what is the current through the 5-Ω resistor?</t>
  </si>
  <si>
    <t>1 A</t>
  </si>
  <si>
    <t>If an electron, starting from rest, accelerates from end to end across a 30-meter region whose endpoints have a potential difference of 5.0 kV, what is the strength of the electric field in the region?</t>
  </si>
  <si>
    <t>There is no electric field in the region.</t>
  </si>
  <si>
    <t>6.0 × 10-4 N/C</t>
  </si>
  <si>
    <t>1.7 N/C</t>
  </si>
  <si>
    <t>1.7 × 102 N/C</t>
  </si>
  <si>
    <t>When a parent nucleus undergoes alpha-decay, the daughter nucleus:</t>
  </si>
  <si>
    <t>has 2 fewer protons and 2 fewer neutrons than the parent nucleus.</t>
  </si>
  <si>
    <t>has 2 fewer protons and 4 fewer neutrons than the parent nucleus.</t>
  </si>
  <si>
    <t>has the same number of protons and neutrons than the parent nucleus.</t>
  </si>
  <si>
    <t>has 1 fewer proton and 2 fewer neutrons than the parent nucleus.</t>
  </si>
  <si>
    <t>As the engineer switches from the wood test piece to the iron test piece, the percentage increase in mass is:</t>
  </si>
  <si>
    <t>18.5%</t>
  </si>
  <si>
    <t>29.5%</t>
  </si>
  <si>
    <t>1.85 × 103%</t>
  </si>
  <si>
    <t>2.95 × 103%</t>
  </si>
  <si>
    <t>According to the experimental data, which of the following statements is true?</t>
  </si>
  <si>
    <t>Some volume of unknown compound weighs more than the same volume of concrete.</t>
  </si>
  <si>
    <t>The ratio of the density of the unknown compound to the density of wood is greater than one.</t>
  </si>
  <si>
    <t>The specific heat of the unknown substance is larger than that of iron.</t>
  </si>
  <si>
    <t>The work done by the unknown liquid as a test piece sinks equals the change in the kinetic energy of that test piece.</t>
  </si>
  <si>
    <t>Which best explains why the engineer used Bernoulli's equation to determine relative viscosity of the unknown liquid compound?</t>
  </si>
  <si>
    <t>Only a viscous fluid exerts a constant pressure throughout the fluid.</t>
  </si>
  <si>
    <t>The real behavior of a non-viscous fluid deviates greatly from that predicted by Bernoulli's equation.</t>
  </si>
  <si>
    <t>The average kinetic energy of the fluid is given by 1/2ρv2, and is directly proportional to the viscosity of the fluid.</t>
  </si>
  <si>
    <t>Bernoulli's equation does not hold when frictional forces within the fluid are high.</t>
  </si>
  <si>
    <t>Suppose the engineer's second experiment is repeated at a higher altitude. Compared to the experimental velocity obtained by the engineer, the velocity of the exiting liquid at a higher altitude is expected to:</t>
  </si>
  <si>
    <t>remain the same.</t>
  </si>
  <si>
    <t>increase at first, then decrease when the pressure of the liquid decreases.</t>
  </si>
  <si>
    <t>In the third experiment, the engineer pours the liquid through a funnel into a test tube, as shown below.</t>
  </si>
  <si>
    <t>Suppose that in Experiment 1, the iron test piece was heated to 100ºC and then submerged into the liquid compound. Assuming negligible heat transfer to the liquid, which of the following will be true?</t>
  </si>
  <si>
    <t>The volume of the liquid compound will decrease.</t>
  </si>
  <si>
    <t>The weight of the iron test piece will increase.</t>
  </si>
  <si>
    <t>The weight of the iron test piece will decrease.</t>
  </si>
  <si>
    <t>The buoyancy force on the test piece will increase.</t>
  </si>
  <si>
    <t>A chemical engineer devises two experiments to determine the density and viscosity of a large sample of an unknown liquid compound:</t>
  </si>
  <si>
    <t>During the conversion from sap to syrup at 1 atm, the temperature of the solution is:</t>
  </si>
  <si>
    <t>less than 100ºC because sucrose boils at a lower temperature than water.</t>
  </si>
  <si>
    <t>100ºC because that is the boiling point of water.</t>
  </si>
  <si>
    <t>greater than 100ºC because the concentration of sucrose is higher than that of other solutes in the sap solution.</t>
  </si>
  <si>
    <t>greater than 100ºC because a solute elevates the boiling point of a solution.</t>
  </si>
  <si>
    <t>Which of the following is the orbital hybridization of the starred atom in malic acid?</t>
  </si>
  <si>
    <t>s2p2</t>
  </si>
  <si>
    <t>Based on the values given in Table 1, the purity shows:</t>
  </si>
  <si>
    <t>an inverse relationship with pressure because as pressure decreases, the boiling point of the sap solution increases, causing other impurities to boil off with the excess water.</t>
  </si>
  <si>
    <t>an inverse relationship with pressure because as pressure decreases, the boiling point of the sap solution decreases, protecting the delicate trace elements from denaturation.</t>
  </si>
  <si>
    <t>a direct relationship with pressure because as pressure increases, trace elements are forced to condense and stay in solution.</t>
  </si>
  <si>
    <t>a direct relationship with pressure because as pressure increases, the boiling point of the sap solution increases, causing the sucrose to break down into its components, glucose and fructose.</t>
  </si>
  <si>
    <t>Which of the following is the limited reactant for Reaction 1?</t>
  </si>
  <si>
    <t>Vanadium (V) oxide</t>
  </si>
  <si>
    <t>Dinitrogen tetroxide</t>
  </si>
  <si>
    <t>Sucrose</t>
  </si>
  <si>
    <t>Water</t>
  </si>
  <si>
    <t>How much NO was collected from the oxidation of sucrose in the syrup?</t>
  </si>
  <si>
    <t>22.4 L</t>
  </si>
  <si>
    <t>33.6 L</t>
  </si>
  <si>
    <t>75.4 L</t>
  </si>
  <si>
    <t>224 L</t>
  </si>
  <si>
    <t>When all of the malic acid from the syrup has been converted to oxaloacetic acid, what will be the change in the IR spectrum of the solution?</t>
  </si>
  <si>
    <t>A peak will disappear from 1050-1300 cm-1 because malic acid loses alcohol functionality to become oxaloacetic acid.</t>
  </si>
  <si>
    <t>A peak will form at 1690-1760 cm-1 because a C=O double bond is formed during the conversion from malic acid to oxaloacetic acid.</t>
  </si>
  <si>
    <t>A peak will disappear from 2850-2970 cm-1 because the C-H bond in malic acid is converted to a C=O bond in oxaloacetic acid.</t>
  </si>
  <si>
    <t>A peak will disappear from 3590-3650 cm-1 because malic acid loses alcohol functionality to become oxaloacetic acid.</t>
  </si>
  <si>
    <t>Maple syrup is prized for its unique flavor and consistency. First harvested and used by the natives of Canada before the arrival of European explorers, it is still exported on a large scale. In order to produce maple syrup, a number of steps must be carried out. First, the maple tree must be "tapped". This is done by boring a hole from the outside of the tree trunk to the sap-carrying core of the tree, about 5 centimeters deep. The sap can then flow into a bucket for collection. Once the sap has been collected, it must be boiled to remove excess water; sap is only 3.0% sucrose by mass, whereas syrup is 64% sucrose. In addition to water and sucrose, syrup contains malic acid, potassium and calcium salts as well as trace amounts of phenolic compounds, amino acids and vitamins. The structure of malic acid is shown in Figure 1.</t>
  </si>
  <si>
    <t>Which best describes the reaction of a Ni-Cd battery while it is being recharged?</t>
  </si>
  <si>
    <t>Cd(OH)2(s) + 2 Ni(OH)2(s) → Cd(s) + 2 NiO(OH)(s) + 2 H2O(l)</t>
  </si>
  <si>
    <t>Cd(OH)2(s) + 2 Ni(OH)2(s) → Cd(s) + 2 H2O(l)</t>
  </si>
  <si>
    <t>Cd(s) + 2 Ni(OH)2(s) → Cd(OH)2(s) + 2 NiO(OH)(s) + 2 H2O(l)</t>
  </si>
  <si>
    <t>Cd(s) + 2 NiO(OH)(s) + 2 H2O(l) → Cd(OH)2(s) + 2 Ni(OH)2(s)</t>
  </si>
  <si>
    <t>An engineer attempts to recharge a Ni-Cd battery using a Zn-HgO cell. If the reduction potential at the anode of the Zn-HgO cell is -0.762 V, in order to successfully recharge the battery the reduction potential at the cathode must be:</t>
  </si>
  <si>
    <t>less than 0.638 V.</t>
  </si>
  <si>
    <t>greater than 0.638 V.</t>
  </si>
  <si>
    <t>less than 2.162 V.</t>
  </si>
  <si>
    <t>greater than 2.162 V.</t>
  </si>
  <si>
    <t>One disadvantage of a Leclanché cell is that the concentration of aqueous species changes with use. Over the life of a working Leclanché cell:</t>
  </si>
  <si>
    <t>ΔE for the cell will increase, ΔG for the cell will decrease.</t>
  </si>
  <si>
    <t>ΔE for the cell will decrease, ΔG for the cell will decrease.</t>
  </si>
  <si>
    <t>ΔE for the cell will increase, ΔG for the cell will increase.</t>
  </si>
  <si>
    <t>ΔE for the cell will decrease, ΔG for the cell will increase.</t>
  </si>
  <si>
    <t>Which of the following statements is true of the Leclanché cell and alkaline cell while in operation, but NOT true of the Ni-Cd cell while it is being recharged?</t>
  </si>
  <si>
    <t>The anode is the site of reduction.</t>
  </si>
  <si>
    <t>The cathode is the site of reduction.</t>
  </si>
  <si>
    <t>The anode is positive.</t>
  </si>
  <si>
    <t>The cathode is positive.</t>
  </si>
  <si>
    <t>Suppose a Leclanché cell were missing the mixture of ZnCl2 and NH4Cl. Which of the following is most likely to occur?</t>
  </si>
  <si>
    <t>The redox reaction will not occur since there is no reducing agent.</t>
  </si>
  <si>
    <t>The redox reaction will not occur since there is no oxidizing agent.</t>
  </si>
  <si>
    <t>The cell will not function since there is no salt bridge.</t>
  </si>
  <si>
    <t>The cell will function normally as long as Zn and MnO2 are present.</t>
  </si>
  <si>
    <t>Suppose another type of battery uses a metal X(s) in the anode reaction. If the cell has a voltage of 1.2 V, what is the charge of the oxidized X ion if the battery has a ΔGº = -347 kJ?</t>
  </si>
  <si>
    <t>+3</t>
  </si>
  <si>
    <t>+4</t>
  </si>
  <si>
    <t>An assortment of portable electronics relies on the Leclanché cell, or Zn-C dry cell, for voltage. The cell uses an outer layer of zinc to provide electrons for the inner MnO2 and graphite core. Under the zinc layer is a mixture of ZnCl2 and NH4Cl, allowing ion movement to neutralize the overall charge moving toward the inner core. The overall reaction of the cell is:</t>
  </si>
  <si>
    <t>If a 3-kg object moving at 5 m/s strikes a wall, and then rebounds away from the wall at 3 m/s, how much kinetic energy did the object lose?</t>
  </si>
  <si>
    <t>0 J</t>
  </si>
  <si>
    <t>13.5 J</t>
  </si>
  <si>
    <t>24 J</t>
  </si>
  <si>
    <t>37.5 J</t>
  </si>
  <si>
    <t>A and B are converted to AB by means of a three-step mechanism:</t>
  </si>
  <si>
    <t>rate = k[A][B]</t>
  </si>
  <si>
    <t>rate = k[A]2[B]2</t>
  </si>
  <si>
    <t>rate = k[A][B]2</t>
  </si>
  <si>
    <t>rate = k[A][B2]</t>
  </si>
  <si>
    <t>A block of ice is reduced in temperature from -5º C to -10º C. As a consequence, which of the following is true?</t>
  </si>
  <si>
    <t>The entropy of the block of ice has increased.</t>
  </si>
  <si>
    <t>The total entropy of the universe has increased.</t>
  </si>
  <si>
    <t>The temperature of the air surrounding the block of ice has decreased.</t>
  </si>
  <si>
    <t>The average kinetic energy per molecule of the water has increased.</t>
  </si>
  <si>
    <t>An object with mass 2m, moving at speed v, collides with a stationary object of mass 3m. If the collision is totally inelastic, what is the final speed of the object with mass 3m?</t>
  </si>
  <si>
    <t>v</t>
  </si>
  <si>
    <t>A monochromatic beam of light with a wavelength of 400 nm strikes a detector. If 3100 eV of energy is collected, how many photons struck the detector?</t>
  </si>
  <si>
    <t>500</t>
  </si>
  <si>
    <t>10000</t>
  </si>
  <si>
    <t>When attempting to defend their practices by referring to medieval and Renaissance writers, the fan-fiction writers assume:</t>
  </si>
  <si>
    <t>medieval and Renaissance writers provide a legal precedent for their position.</t>
  </si>
  <si>
    <t>the medieval and Renaissance writers had no objections to other writers using their materials.</t>
  </si>
  <si>
    <t>the writing of tales about established legendary or historical figures is analogous to the writing of tales set in fantastic or science fictional universes created by a living author.</t>
  </si>
  <si>
    <t>current international copyright laws go against historical precedent and thus must be changed.</t>
  </si>
  <si>
    <t>In discussing the lack of opportunity for professional writers to make a clear legal statement regarding the harm caused by fan-fiction, the author assumes:</t>
  </si>
  <si>
    <t>a clear legal statement explaining the harm caused by fan-fiction will cause amateur authors to stop writing fan-fiction.</t>
  </si>
  <si>
    <t>clear legal statements may be made only in a courtroom setting.</t>
  </si>
  <si>
    <t>the high cost of court cases deters all amateur writers from pursuing their arguments in court.</t>
  </si>
  <si>
    <t>the threat or actuality of court cases are the only legal avenue available to professional writers concerned about fan-fiction writing.</t>
  </si>
  <si>
    <t>Based on the information on the passage, if an amateur writer wrote a story using the characters from a professional work of fiction, and disseminated the story over the Net:</t>
  </si>
  <si>
    <t>the amateur author would be breaking international copyright laws.</t>
  </si>
  <si>
    <t>the amateur author would face expensive litigation procedures.</t>
  </si>
  <si>
    <t>the amateur author would not be breaking international copyright laws.</t>
  </si>
  <si>
    <t>the story may be difficult to remove from the Internet.</t>
  </si>
  <si>
    <t>It can be inferred from the passage that writers in the medieval and Renaissance eras:</t>
  </si>
  <si>
    <t>lacked the protection of international copyright law.</t>
  </si>
  <si>
    <t>preferred to work with previously created characters and settings.</t>
  </si>
  <si>
    <t>were interested in making quick money out of their writings.</t>
  </si>
  <si>
    <t>never created new characters and settings, instead choosing to rewrite previously written stories.</t>
  </si>
  <si>
    <t>According to the passage, when determining whether a work of amateur fiction is breaking international copyright law or not, which of the following must also be determined?</t>
  </si>
  <si>
    <t>The country of publication of the amateur work</t>
  </si>
  <si>
    <t>Whether the work of amateur fiction has received monetary compensation</t>
  </si>
  <si>
    <t>Whether the work of amateur fiction has increased the sales of the professional writing it is based on</t>
  </si>
  <si>
    <t>Whether the work of amateur fiction is based on a professionally printed work</t>
  </si>
  <si>
    <t>The argument of the fan-fiction writers, as expressed in the passage, would be most strengthened by:</t>
  </si>
  <si>
    <t>evidence that professional writers are not harmed by amateur stories based on their professional fiction.</t>
  </si>
  <si>
    <t>proof that the fan-fiction writers are not receiving monetary compensation for their work.</t>
  </si>
  <si>
    <t>an independent determination of the harm caused by fan-fiction.</t>
  </si>
  <si>
    <t>a clear legal statement listing which characters and settings may be considered to be in the public domain.</t>
  </si>
  <si>
    <t>The advent of the Internet inadvertently caused the emergence of a new "literary genre", fan-fiction. In fan-fiction, amateur writers compose stories, usually science fiction or fantasy, based on the work of well-known authors or television shows. In some cases, the writers use already created characters; in other cases, they devise new characters, but use the same setting – say a group of interstellar explorers attacked by the Romulans from Star Trek. The stories range from astounding to execrable. Surprisingly, even the most abysmal have attracted a wave of fierce defenders– along with equally fervent detractors.</t>
  </si>
  <si>
    <t>Ngugi wa Thiong'o would be most likely to disagree with which of the following statements?</t>
  </si>
  <si>
    <t>An author writing in both Gikuyu and English can bridge the gap between colonizer and colonized.</t>
  </si>
  <si>
    <t>The use of a European language may allow an author to reach a larger number of African readers than the use of any single African language.</t>
  </si>
  <si>
    <t>Written literature is an appropriate arena for expressing social and political conflict.</t>
  </si>
  <si>
    <t>English is more expressive than Gikuyu for some realms of life.</t>
  </si>
  <si>
    <t>Which of the following statements is best supported by the passage?</t>
  </si>
  <si>
    <t>Ngugi and Achebe have addressed each other's writing directly.</t>
  </si>
  <si>
    <t>Ngugi used to write in a European language, but now writes in an African language.</t>
  </si>
  <si>
    <t>Most African people prefer to read literature written in a European language.</t>
  </si>
  <si>
    <t>Most African authors have taken a stance on one side of the debate or the other.</t>
  </si>
  <si>
    <t>The English language has had a civilizing effect in Africa.</t>
  </si>
  <si>
    <t>In the debate about language use in African literature, no intermediate stance is possible.</t>
  </si>
  <si>
    <t>The colonial era stifled the production of African literature.</t>
  </si>
  <si>
    <t>The opinions of African readers have not been considered in this debate.</t>
  </si>
  <si>
    <t>Achebe and Ngugi would be most likely to agree on which of the following points?</t>
  </si>
  <si>
    <t>An author's primary responsibility is to the people of his home community.</t>
  </si>
  <si>
    <t>Anything that characterizes a contemporary African nation can be considered truly African.</t>
  </si>
  <si>
    <t>Languages cannot be considered independently of social and political context.</t>
  </si>
  <si>
    <t>The choice of a language for literature can be made for purely expressive reasons.</t>
  </si>
  <si>
    <t>According to the passage, European colonialism had all of the following effects on literature in Africa EXCEPT:</t>
  </si>
  <si>
    <t>an increase in literature written in African languages.</t>
  </si>
  <si>
    <t>an increase in literature written in European languages.</t>
  </si>
  <si>
    <t>the introduction of written literature to Africa.</t>
  </si>
  <si>
    <t>the new self-identification of writers as "African."</t>
  </si>
  <si>
    <t>According to the passage, the linguistic situation of Nigeria is best characterized by:</t>
  </si>
  <si>
    <t>several important local languages all of which also serve as official languages.</t>
  </si>
  <si>
    <t>many local languages, with English as the official state language.</t>
  </si>
  <si>
    <t>universal reliance on English for everyday affairs as well as political life.</t>
  </si>
  <si>
    <t>contention between those who use European languages and those who use African languages.</t>
  </si>
  <si>
    <t>Although the majority of African literature is published in European languages, since the 1960s, the decade of most African nations' independence, African writers and scholars have debated the appropriateness of European languages for African authors. Some argue that European languages, legacies of the colonial encounter, cannot adequately represent nor speak to African cultures or communities. Others claim that European languages are now also "African," and that their use allows an author to reach a wider audience.</t>
  </si>
  <si>
    <t>According to the passage, the ability of Lucy to lie to Roger Fouts provides an example of linguistic:</t>
  </si>
  <si>
    <t>productivity.</t>
  </si>
  <si>
    <t>displacement.</t>
  </si>
  <si>
    <t>insolence.</t>
  </si>
  <si>
    <t>transmission.</t>
  </si>
  <si>
    <t>Which of the following provides an example of symbolism, as defined in the passage?</t>
  </si>
  <si>
    <t>Stop signs in North America are octagonal in shape, but in Europe stop signs are round.</t>
  </si>
  <si>
    <t>The word "meow" is a transliteration of the actual sound that a cat makes.</t>
  </si>
  <si>
    <t>On a mercury thermometer, a longer stripe of mercury indicates a higher temperature.</t>
  </si>
  <si>
    <t>Young children's scribbles are often unrecognizable as the thing or person that the child is drawing.</t>
  </si>
  <si>
    <t>Which of the following accords best with the author's view about call systems and languages?</t>
  </si>
  <si>
    <t>Call systems are essentially the same as human languages, only simpler.</t>
  </si>
  <si>
    <t>True languages evolved out of call systems.</t>
  </si>
  <si>
    <t>The differences between call systems and languages are greater than the similarities.</t>
  </si>
  <si>
    <t>The similarities between call systems and languages are greater than the differences.</t>
  </si>
  <si>
    <t>Why does the author include information about Terrace's research?</t>
  </si>
  <si>
    <t>To disprove the theory that all chimpanzees have the ability to learn language</t>
  </si>
  <si>
    <t>To criticize Terrace's research methodology</t>
  </si>
  <si>
    <t>To draw an analogy with children who fail to learn language</t>
  </si>
  <si>
    <t>To show that a potential weakness of the author's argument is in fact a strength</t>
  </si>
  <si>
    <t>The author would be LEAST likely to agree with which of the following statements?</t>
  </si>
  <si>
    <t>Humans are not the only animals that are capable of learning and using true language.</t>
  </si>
  <si>
    <t>Humans and chimpanzees differ in the degree to which they can learn and use language.</t>
  </si>
  <si>
    <t>Humans have the ability to learn language, but they require input from other humans in order to learn it.</t>
  </si>
  <si>
    <t>Human language is only one of many kinds of language existing on earth.</t>
  </si>
  <si>
    <t>The passage implies that which of the following conditions is necessary for an organism to learn language?</t>
  </si>
  <si>
    <t>II only.</t>
  </si>
  <si>
    <t>I and II only.</t>
  </si>
  <si>
    <t>I and III only.</t>
  </si>
  <si>
    <t>I, II and III.</t>
  </si>
  <si>
    <t>According to the information provided in the passage, call systems and language are similar in that:</t>
  </si>
  <si>
    <t>both are used by non-human primates in the wild.</t>
  </si>
  <si>
    <t>both involve an arbitrary association between symbols and the things they represent.</t>
  </si>
  <si>
    <t>both are made up of discrete units that cannot be combined.</t>
  </si>
  <si>
    <t>both are natural systems used by primates for the purpose of communication.</t>
  </si>
  <si>
    <t>It is almost a truism that humans are the only animals with genuine language. But in recent years, observations of the great apes in captivity have shown remarkable capacities for language in non-human primates. These studies suggest that humans are not so different from other animals as we believe.</t>
  </si>
  <si>
    <t>If a debtor seeking relief from creditors (other than municipal or mortgage creditors) were to purchase a two-acre estate in a municipal locality in Florida, based on passage information it would be most reasonable to expect that:</t>
  </si>
  <si>
    <t>the creditors could force the sale of the one and a half acres of land not included in the half-acre portion of the homestead.</t>
  </si>
  <si>
    <t>the estate would not be covered under the new legislation being considered by the Senate.</t>
  </si>
  <si>
    <t>the debtor would not be able to find relief from the creditors on the two acre estate.</t>
  </si>
  <si>
    <t>only one-half acre of the estate would be immune from the creditors.</t>
  </si>
  <si>
    <t>Passage information indicates that, if a homestead owner in Florida fails to pay for home improvements upon the homestead property, the person(s) responsible for the improvement may:</t>
  </si>
  <si>
    <t>not force the sale of the homestead or a portion of the homestead in order to pay the debt on the home improvement.</t>
  </si>
  <si>
    <t>attach the wages of the homestead owner to collect the debt.</t>
  </si>
  <si>
    <t>place a lien upon the homestead or a portion of the homestead.</t>
  </si>
  <si>
    <t>demand payment from the homestead owner's other assets.</t>
  </si>
  <si>
    <t>It can be inferred from the passage that IRAs and company pensions:</t>
  </si>
  <si>
    <t>provide a stable source of income for all debtors seeking refuge from creditors.</t>
  </si>
  <si>
    <t>may be used to make home improvements upon the homestead.</t>
  </si>
  <si>
    <t>are exempt from income tax.</t>
  </si>
  <si>
    <t>cannot be attached by creditors seeking restitution for debt.</t>
  </si>
  <si>
    <t>The author would be LEAST likely to agree with which of the following opinions?</t>
  </si>
  <si>
    <t>Some debtors may need the protection of Florida's Homestead and tax laws.</t>
  </si>
  <si>
    <t>Voters are unlikely to vote against what they perceive as their best financial interests.</t>
  </si>
  <si>
    <t>In cases where federal and state laws come into conflict, the state law should always take precedence.</t>
  </si>
  <si>
    <t>The high-profile cases of debtors fleeing to Florida may be encouraging others to follow their examples.</t>
  </si>
  <si>
    <t>The author probably mentions the poor and working class residents of Florida in order to:</t>
  </si>
  <si>
    <t>defend a portion of the Florida Homestead Law</t>
  </si>
  <si>
    <t>contrast them to poor and working class residents of other states who lack the protection of the Florida Homestead Law.</t>
  </si>
  <si>
    <t>explain why the Florida Homestead Law is unlikely to be overturned by the Florida legislature.</t>
  </si>
  <si>
    <t>give further examples of debtors unfairly hiding from creditors.</t>
  </si>
  <si>
    <t>Imagine this scenario: a business owner is ordered to pay several million in damages in a federal court. The owner of the business moves to another state and immediately purchases a house worth 2 million (or more) in cash; she then declares bankruptcy and the inability to pay the court ordered settlement. In the meantime, she takes a job, or lives off her pension and/or her IRA in comfort or even luxury, and ignores the demands for payment from her distressed creditors. She can take out a home-equity loan for any short-term emergencies. Alternatively, if she lives in a house with a guest house, she may rent out the guest house for additional income – income that again remains safe from her creditors. Myth? No, reality – if the said house was built in Florida.</t>
  </si>
  <si>
    <t>The author's chief argument would be most weakened by evidence that:</t>
  </si>
  <si>
    <t>a rigid year by year narrative format is actually a more mature form of historical writing.</t>
  </si>
  <si>
    <t>moral digressions in historical works form an essential part of their innate narrative structure.</t>
  </si>
  <si>
    <t>historical works that focus on an overall world-view are less intriguing than works with a narrow focus.</t>
  </si>
  <si>
    <t>the ability to compose lengthy moral commentaries stems from maturity, and rarely appears in early writings.</t>
  </si>
  <si>
    <t>Which of the following would the author of the passage be most likely to consider a mature work of history?</t>
  </si>
  <si>
    <t>A study of the French Revolution that narrated events in a year by year format</t>
  </si>
  <si>
    <t>A biography of Joseph Stalin that presented anecdotes from the dictator's life without further comment</t>
  </si>
  <si>
    <t>A history of the American Revolution that placed its events in the context of other events on the world stage</t>
  </si>
  <si>
    <t>An analysis of the role of trade restrictions in the decline of Imperial China</t>
  </si>
  <si>
    <t>It can be inferred from the passage that the author believes that, compared to Nero, the emperor Vitellus:</t>
  </si>
  <si>
    <t>did not present as compelling a figure of moral depravity.</t>
  </si>
  <si>
    <t>had a less pernicious effect upon the Roman Empire.</t>
  </si>
  <si>
    <t>did little to assist the growth and power of the Roman Empire.</t>
  </si>
  <si>
    <t>did not waste his time writing bad poetry.</t>
  </si>
  <si>
    <t>The passage suggests that the Roman historian Tacitus would be LEAST likely to agree with which of the following viewpoints?</t>
  </si>
  <si>
    <t>Historical works should be filled with colorful anecdotes illustrating the character of the historical personas under discussion.</t>
  </si>
  <si>
    <t>As the history of the Roman Empire progressed, its rulers became less corrupted by power.</t>
  </si>
  <si>
    <t>The writing of poetry by Roman emperors may indicate a less than devoted passion to their actual jobs.</t>
  </si>
  <si>
    <t>The emperors Nero and Tiberius may serve as emblems of human corruption.</t>
  </si>
  <si>
    <t>Passage information would indicate that ancient historians, when writing about the Roman Empire:</t>
  </si>
  <si>
    <t>chose to focus on figures renowned for their moral depravity.</t>
  </si>
  <si>
    <t>largely focused on the affairs of the city of Rome, and not on events taking place in the greater Empire.</t>
  </si>
  <si>
    <t>rarely strove for historical objectivity, instead delivering their opinions upon the historical figures they discussed.</t>
  </si>
  <si>
    <t>used either a rigid year by year narrative format, or else a narrative format that followed historical figures from birth until death.</t>
  </si>
  <si>
    <t>Suppose that further writings by Tacitus were to be discovered that were more bitter in tone than those of The Annals, contained multiple moral digressions, and lacked a rigid year by year format. The author would most likely:</t>
  </si>
  <si>
    <t>claim that the newly discovered writings were written after The Annals.</t>
  </si>
  <si>
    <t>claim that the newly discovered writings were written before The Histories.</t>
  </si>
  <si>
    <t>use the newly discovered writings to help date The Histories and The Annals more precisely.</t>
  </si>
  <si>
    <t>be unable to give a precise date to the composition of the newly discovered writings.</t>
  </si>
  <si>
    <t>Historians have long debated whether the Roman historian Tacitus wrote The Histories prior to composing his masterpiece, The Annals of Imperial Rome, a work covering a time period that ends shortly before The Histories takes up the tale. Certainly, structural similarities suggest that Tacitus wrote the books nearly contemporaneously. The books each contain a vivid and exciting narrative line, striking character portraits created with pithy statements, a decided bent for racy anecdote, and a strong antipathy towards the imperial system. Both books do not hesitate to pass moral judgements upon historical figures, nor, for that matter, to paint highly unflattering portraits of imperial rulers such as Nero and Domitian. The books also make an attempt at historical objectivity, unusual in ancient texts. In The Histories, for example, Tacitus manages some faint praise for the rather worthless Vitellus, and in The Annals, he admits that the hated Tiberius did accomplish some useful deeds. Both books also glitter with the irony for which Tacitus became renowned. But with these, the similarities end. A close study of the differences between the works strongly suggests that The Annals is the later, more bitter, and more mature work – if not necessarily the better written.</t>
  </si>
  <si>
    <t>According to the passage, which of the following would provide reliable evidence of a past increase in the sea level?</t>
  </si>
  <si>
    <t>changes in the distribution of seawater elements.</t>
  </si>
  <si>
    <t>an increase in the volume of oxygen 18 in sea-water.</t>
  </si>
  <si>
    <t>a decrease in the volume of oxygen 16 in sea-water.</t>
  </si>
  <si>
    <t>the oxygen isotope content of marine microorganisms.</t>
  </si>
  <si>
    <t>Based on the information in the passage, of the following time periods, intense volcanic activity occurred:</t>
  </si>
  <si>
    <t>Based on the information provided in the passage, we can justifiably infer that:</t>
  </si>
  <si>
    <t>there are more inland volcanoes than either island or coastal volcanoes.</t>
  </si>
  <si>
    <t>increased sea level pressure increases the likelihood of island volcanic eruptions.</t>
  </si>
  <si>
    <t>coastal volcanoes erupt more frequently than either island or inland volcanoes.</t>
  </si>
  <si>
    <t>sea level pressures affect island and coastal volcanoes in a similar way.</t>
  </si>
  <si>
    <t>If the author's analysis in the passage is correct, then it follows that:</t>
  </si>
  <si>
    <t>sea level changes affect coastal volcano activity more than it affects either island or inland volcanoes.</t>
  </si>
  <si>
    <t>volcanic activity can change global climate, and global climate change can affect volcanic activity.</t>
  </si>
  <si>
    <t>the "facilitating" records preserved in the past will not be available to scientists in future millennia.</t>
  </si>
  <si>
    <t>there is a direct correlation between the rapid fall in sea levels and the rise in volcanic activity worldwide.</t>
  </si>
  <si>
    <t>The author's purpose in mentioning "intense volcanic activity between 15,000 and 8,000 years ago" is to:</t>
  </si>
  <si>
    <t>demonstrate the direct relationship between higher sea levels and intense coastal volcano activity.</t>
  </si>
  <si>
    <t>argue for the effectiveness of the finite-element modeling technique to compare volcanic activity and sea levels.</t>
  </si>
  <si>
    <t>provide an example of the direct relationship between rapid sea level changes and heightened volcanic activity.</t>
  </si>
  <si>
    <t>emphasize the lower sea levels during this time.</t>
  </si>
  <si>
    <t>Nearly 60% of all active volcanoes either form islands or lie near the coast, and all others are within 250 kilometers of a coastline. Proportionately, there are similar numbers of coastal and island volcanoes, which once led some scientists to hypothesize that eruption of one type might offset the other. However, this is not the case. Since all volcanoes are relatively near the sea, scientists investigated sea level changes over the millennia and found a correlation: rising and falling sea levels amplify or relieve stress around volcanic structures. Those stress changes can be linked to volcanic activity regardless of location, and increased volcanic activity has serious implications for global climate.</t>
  </si>
  <si>
    <t>The author of this passage would most probably concur that:</t>
  </si>
  <si>
    <t>Fed policy is too complex to understand.</t>
  </si>
  <si>
    <t>open market operations are overused.</t>
  </si>
  <si>
    <t>it is important for the banking system to create and distribute money.</t>
  </si>
  <si>
    <t>most people are unfamiliar with the essence of the Fed's operation.</t>
  </si>
  <si>
    <t>Banks create debt in a way similar to the way the government prints money.</t>
  </si>
  <si>
    <t>All money arises through debt transactions.</t>
  </si>
  <si>
    <t>Interest rates reflect inflationary conditions.</t>
  </si>
  <si>
    <t>Reserve requirements are changed frequently.</t>
  </si>
  <si>
    <t>Each of the following assertions can be inferred from the passage EXCEPT:</t>
  </si>
  <si>
    <t>the discount rate reflects an implied interest rate.</t>
  </si>
  <si>
    <t>monetary policy was not the original justification for the Fed.</t>
  </si>
  <si>
    <t>a bank's reserves always increase when a depositor's account balance increases.</t>
  </si>
  <si>
    <t>open market operations are conducted in secret.</t>
  </si>
  <si>
    <t>Of the following individuals or groups, the author is most likely to agree with:</t>
  </si>
  <si>
    <t>bankers who are caught in a liquidity bind.</t>
  </si>
  <si>
    <t>Federal Reserve Board members.</t>
  </si>
  <si>
    <t>opponents of fractional reserve banking.</t>
  </si>
  <si>
    <t>the Fed Chairman.</t>
  </si>
  <si>
    <t>Most descriptions of the Federal Reserve System (the "Fed") obscure rather than illuminate the nature of its operations. This is no accident. It is actually the means by which the banking elite keeps others in awe while averting critical public scrutiny. Nonetheless, anyone can unravel the seeming mystery by concentrating on the big picture. The key is to recognize that, ultimately, the Fed has a single, overriding function: to enhance or restrict the ability of the banking system to extend credit. "Extending credit" is nothing more than the method by which our system makes money available. In other words, debt creation (extending credit) is money creation. Every single dollar in circulation has been loaned into circulation by the banking system! For better or for worse, the sole function of the Fed is to enable bankers to create and distribute money. Only after we fully understand this, can we understand the components of Fed activity: the Fed as lender of last resort and the Fed as purveyor of monetary policy.</t>
  </si>
  <si>
    <t>S-adenosylmethionine (adoMet) is a large, complex molecule that acts as an electrophilic, methyl group donor in Step 5 of Figure 1. The structure of adoMet can be seen below. What type of reaction mechanism takes place during this particular step of epinephrine biosynthesis?</t>
  </si>
  <si>
    <t>Unimolecular nucleophilic substitution</t>
  </si>
  <si>
    <t>Bimolecular nucleophilic substitution</t>
  </si>
  <si>
    <t>Electrophilic addition</t>
  </si>
  <si>
    <t>Electrophilic substitution</t>
  </si>
  <si>
    <t>Upon hydroxylation of phenylalanine in Step 1 of Figure 1, why does the hydroxyl group prefer to be para to the alanine substituent on the benzene ring?</t>
  </si>
  <si>
    <t>The alkyl component of alanine donates electron density to the ring through inductance resulting in the stabilization of the intermediate upon addition at the para position.</t>
  </si>
  <si>
    <t>The amine functional group acts as a para director by donating a lone pair of electrons to the ring through resonance stabilization of the intermediate.</t>
  </si>
  <si>
    <t>The hydroxyl group acts as a para director by donating a lone pair of electrons to the ring through resonance stabilization of the intermediate.</t>
  </si>
  <si>
    <t>The carboxylic acid functionality withdraws electron density from the ring through both resonance and inductive effects resulting in increased stabilization of the intermediate upon addition at the para position.</t>
  </si>
  <si>
    <t>Which of the following reducing agents could be used to perform Step 3 in Figure 2?</t>
  </si>
  <si>
    <t>The IUPAC name for phenylalanine is:</t>
  </si>
  <si>
    <t>2-amino-3-phenylpropanoic acid.</t>
  </si>
  <si>
    <t>2-amino-3-propanoic benzene.</t>
  </si>
  <si>
    <t>1-phenylpropanamide.</t>
  </si>
  <si>
    <t>1-phenyl-2-aminopropanoic acid.</t>
  </si>
  <si>
    <t>Which of the following structures best represents the intermediate formed upon reacting catechol with chloroacetylchloride in Step 1 of Figure 2?</t>
  </si>
  <si>
    <t>What is the correct Fischer projection for R-epinephrine?</t>
  </si>
  <si>
    <t>Epinephrine, more commonly known as adrenaline, is a neurotransmitter produced by the adrenal gland in the adrenal medulla. In humans, epinephrine is a stimulant of the sympathetic nervous system thereby acting to increase heart rate, raise blood pressure, and suppress involuntary muscle contractions of the digestive system.</t>
  </si>
  <si>
    <t>Cigarette smoking causes emphysema, a condition in which the net surface area of the lungs is greatly decreased leading to a decrease in the diffusing capacity of the lungs. Emphysema leads to which type of hypoxia?</t>
  </si>
  <si>
    <t>Hypoxic hypoxia</t>
  </si>
  <si>
    <t>Anemic hypoxia</t>
  </si>
  <si>
    <t>Ischemic hypoxia</t>
  </si>
  <si>
    <t>Histotoxic hypoxia</t>
  </si>
  <si>
    <t>Exposure to high levels of radiation has been demonstrated to cause anemia. The most likely explanation is that radiation damages the:</t>
  </si>
  <si>
    <t>blood vessels.</t>
  </si>
  <si>
    <t>spleen.</t>
  </si>
  <si>
    <t>thymus.</t>
  </si>
  <si>
    <t>bone marrow.</t>
  </si>
  <si>
    <t>The passages of the respiratory tract which do not participate in gas exchange are called the anatomical dead space. Compared to air in the alveoli, air in the anatomical dead space will have:</t>
  </si>
  <si>
    <t>higher PCO2 and higher PO2.</t>
  </si>
  <si>
    <t>higher PCO2 and lower PO2.</t>
  </si>
  <si>
    <t>lower PCO2 and higher PO2.</t>
  </si>
  <si>
    <t>same PCO2 and same PO2.</t>
  </si>
  <si>
    <t>Hypoxia can often be treated by ventilation with pure oxygen. The increased in the alveoli will lead to an increased in the blood. Treatment with pure oxygen is LEAST effective in treating which of the following types of hypoxia?</t>
  </si>
  <si>
    <t>Hypoxic hypoxia caused by hypoventilation</t>
  </si>
  <si>
    <t>Anemic hypoxia caused by sickle cell anemia</t>
  </si>
  <si>
    <t>Ischemic hypoxia caused by poor circulation</t>
  </si>
  <si>
    <t>Histotoxic hypoxia caused by the disease beri beri</t>
  </si>
  <si>
    <t>A patent foramen ovale occurs when an infant's foramen ovale does not close completely at birth. Based on the information presented in the passage, this can lead to:</t>
  </si>
  <si>
    <t>hypoxic hypoxia because much of the blood does not reach the lungs to be oxygenated leading to a low .</t>
  </si>
  <si>
    <t>anemic hypoxia because the blood does not carry enough oxygen</t>
  </si>
  <si>
    <t>ischemic hypoxia because the flow of blood is shunted away from the lungs.</t>
  </si>
  <si>
    <t>none of the above.</t>
  </si>
  <si>
    <t>Hypoxia refers to a physiological condition in which the body lacks sufficient oxygen for normal cellular functioning. Prolonged hypoxia generally leads to an inhibition of mental capacity and a reduction in the work capacity of muscle. Severe cases of hypoxia can lead to coma or even death. Depending on the cause, hypoxia can be classified into four general types:</t>
  </si>
  <si>
    <t>During labor, fetal heart rate tracings are monitored for drops in fetal heart rate termed decelerations. A variable deceleration is caused by compression of the umbilical cord. The fetal heart rate initially increases as the flimsy umbilical vein is compressed and then decreases as the umbilical arteries are compressed. How can this be explained?</t>
  </si>
  <si>
    <t>Compression of the umbilical cord decreases fetal blood volume.</t>
  </si>
  <si>
    <t>Compression of the umbilical cord increases fetal blood volume.</t>
  </si>
  <si>
    <t>Compression of the umbilical vein decreases fetal blood volume while compression of the umbilical artery increases the fetal blood volume.</t>
  </si>
  <si>
    <t>Compression of the umbilical vein increases fetal blood volume while compression of the umbilical artery decreases fetal blood volume.</t>
  </si>
  <si>
    <t>Calsequestrin (CSQ) is a calcium-binding protein found in the sarcoplasmic reticulum (SR). CSQ can bind up to 50 calcium ions per molecule, thus lowering the calcium concentration in the SR. CSQ mutations are associated with disturbances of rhythmic oscillations in intracellular calcium concentration and membrane potential. In cardiac muscle, CSQ mutations are associated with fatal arrhythmias. Scientists hypothesize that increases in calcium storage alter membrane potentials within the muscle cells, causing random twitches in muscle fibers. Which of the following statements best explains this phenomenon?</t>
  </si>
  <si>
    <t>CSQ mutations increase the number of calcium ions bound per molecule, thus increasing the amount of calcium stored in the SR.</t>
  </si>
  <si>
    <t>CSQ mutations increase the number of calcium ions bound per molecule, thus decreasing the amount of calcium stored in the SR.</t>
  </si>
  <si>
    <t>CSQ mutations decrease the number of calcium ions bound per molecule, thus increasing the amount of calcium stored in the SR.</t>
  </si>
  <si>
    <t>CSQ mutations decrease the number of calcium ions bound per molecule, thus decreasing the amount of calcium stored in the SR.</t>
  </si>
  <si>
    <t>Clinicians use electrocardiograms to understand cardiac arrhythmias. On an EKG, the P wave occurs as the atria are depolarized and stimulated to contract. The QRS wave occurs as the ventricles are depolarized and the T wave occurs as the ventricles repolarize. A patient experiencing an elevated heart rate (tachycardia) gets an EKG and the caring physician notes that P waves are absent. Absence of the P waves is most likely related to a malfunction of the:</t>
  </si>
  <si>
    <t>Purkinje fibers</t>
  </si>
  <si>
    <t>Bundle of His</t>
  </si>
  <si>
    <t>Atrioventricular node</t>
  </si>
  <si>
    <t>Sinoatrial node</t>
  </si>
  <si>
    <t>Which of the following regarding somatostatin is true?</t>
  </si>
  <si>
    <t>Which of the following will reduce the amount of filtrate that is entering the Bowman's capsule from the glomerular capillaries?</t>
  </si>
  <si>
    <t>Increased plasma protein concentration</t>
  </si>
  <si>
    <t>Increased plasma glucose concentration</t>
  </si>
  <si>
    <t>Elevated arterial pressure</t>
  </si>
  <si>
    <t>Decreased plasma ion concentration</t>
  </si>
  <si>
    <t>What percent of urea is reabsorbed from the filtrate if urea concentration in the urine is 100 times greater than urea concentration in the blood? (GFR= 200 L/day, urine flow rate = 1L/day)</t>
  </si>
  <si>
    <t>10%</t>
  </si>
  <si>
    <t>Penicillin is a drug that can be filtered and secreted into the tubular fluid. However, when the drug probenecid is administered together with penicillin, the secretion of penicillin is markedly reduced. Which of the following is a true statement concerning clearance of penicillin?</t>
  </si>
  <si>
    <t>The clearance of penicillin is increased in the presence of probenecid.</t>
  </si>
  <si>
    <t>The clearance of penicillin is decreased in the presence of probenecid.</t>
  </si>
  <si>
    <t>The clearance of penicillin is unaffected in the presence of probenecid.</t>
  </si>
  <si>
    <t>The clearance of penicillin cannot be determined in the presence of probenecid.</t>
  </si>
  <si>
    <t>Creatinine is a muscle metabolite that is easily filtered across the glomerular capillaries. However, the amount of creatinine excreted by each nephron is greater then the amount of creatinine that enters the Bowman's capsule from the glomerular capillaries. The process that accounts for the difference in creatinine amounts most likely involves:</t>
  </si>
  <si>
    <t>reabsorption of creatinine at the proximal tubules.</t>
  </si>
  <si>
    <t>secretion of creatinine obtained from the peritubular capillaries.</t>
  </si>
  <si>
    <t>synthesis of creatinine in the cells of the tubules.</t>
  </si>
  <si>
    <t>breakdown of creatinine in the tubular fluid.</t>
  </si>
  <si>
    <t>Mannose is a monosaccharide that is freely filtered across the glomerulus into Bowman's capsule and is neither reabsorbed, nor metabolized by the cells of the nephron. What will be the most likely effect of intravenous mannose administration on the volume of urine produced?</t>
  </si>
  <si>
    <t>Urine volume will increase</t>
  </si>
  <si>
    <t>Urine volume will decrease</t>
  </si>
  <si>
    <t>Urine volume will remain the unchanged</t>
  </si>
  <si>
    <t>The effect of mannose on urine volume cannot be predicted.</t>
  </si>
  <si>
    <t>Which of the following conditions will favor the movement of water, ions, and glucose from the intercellular space of the proximal tubule into the peritubular capillaries?</t>
  </si>
  <si>
    <t>High capillary hydrostatic and low capillary osmotic pressures</t>
  </si>
  <si>
    <t>High intercellular hydrostatic and low capillary osmotic pressures</t>
  </si>
  <si>
    <t>Low capillary hydrostatic and high capillary osmotic pressures</t>
  </si>
  <si>
    <t>Low intercellular hydrostatic and high intercellular osmotic pressures</t>
  </si>
  <si>
    <t>In the kidney, the force that drives filtration at the glomerulus is the hydrostatic pressure generated by the heart. As in all capillary beds, the pressure of the blood entering the permeable capillary causes the filtration of water and small molecules until the osmotic pressure created by the large molecules remaining in the blood is sufficient to resist the outward flow of fluid. The filtrate that enters the tubule contains glucose, amino acids, ions, and nitrogenous wastes in the same concentrations as in the blood plasma, but it lacks plasma proteins. As this fluid passes down the tubule, its composition changes as the cells of the tubule actively reabsorb certain molecules from the tubular fluid and secrete other molecules into it. The peritubular capillaries supply the cells of the tubules with O2 and nutrients, bring to them the molecules to be secreted into the tubules and carry away the molecules that are reabsorbed from the tubules back into the blood.</t>
  </si>
  <si>
    <t>The organism's DNA being studied by the scientists has its most single-stranded character at which of the following temperatures?</t>
  </si>
  <si>
    <t>70°C</t>
  </si>
  <si>
    <t>75°C</t>
  </si>
  <si>
    <t>80°C</t>
  </si>
  <si>
    <t>85°C</t>
  </si>
  <si>
    <t>DNA with which of the following characteristics would be most easily denatured?</t>
  </si>
  <si>
    <t>Complementary strands with an equal composition of A, C, T, and G base pairs</t>
  </si>
  <si>
    <t>Complementary strands which are identical to one another</t>
  </si>
  <si>
    <t>Complementary strands which have a higher A-T content than G-C content</t>
  </si>
  <si>
    <t>Any DNA found in a sodium-rich solution</t>
  </si>
  <si>
    <t>In a second experiment with the same organism's DNA, scientists use very long strands of DNA that they attempt to melt apart from each other. Which of the following values would be the best estimation for the Tmof these new, longer strands?</t>
  </si>
  <si>
    <t>95°C</t>
  </si>
  <si>
    <t>The main difference between ssDNA and dsDNA is that:</t>
  </si>
  <si>
    <t>dsDNA has bases that include thymine (T), while ssDNA has bases including uracil (U).</t>
  </si>
  <si>
    <t>dsDNA has strands oriented in an antiparallel fashion, while ssDNA does not.</t>
  </si>
  <si>
    <t>dsDNA cannot undergo translation while ssDNA can leave the nucleus to undergo translation.</t>
  </si>
  <si>
    <t>dsDNA has 5' to 3' polarity while ssDNA does not.</t>
  </si>
  <si>
    <t>Given the data in the experiment described in the passage, increasing the temperature of a solution of unwound (ss) DNA a few degrees would most likely:</t>
  </si>
  <si>
    <t>separate the DNA even further into its single A, C, G, and T nucleotides.</t>
  </si>
  <si>
    <t>decrease the Tm of the DNA after it renatures.</t>
  </si>
  <si>
    <t>slow the renaturing process so that dsDNA takes longer to form.</t>
  </si>
  <si>
    <t>have no effect on the solution at all.</t>
  </si>
  <si>
    <t>Pure double-stranded DNA (dsDNA) can be unwound and the strands separated using either heat or various chemicals. The most common technique for measuring the relative amounts of double-stranded DNA as compared to single-stranded, DNA (ssDNA) is to use spectroscopy to measure how much ultraviolet light at a particular wavelength is absorbed by the DNA sample in question. Ultraviolet (UV) light is much more easily absorbed by ssDNA than by dsDNA, because of the tight packing of the helix in the double-stranded form.</t>
  </si>
  <si>
    <t>What is the mechanism of action of tropomyosin?</t>
  </si>
  <si>
    <t>Calcium binds to tropomyosin molecules to cause the tropomyosin molecules to shift and expose the myosin-binding sites.</t>
  </si>
  <si>
    <t>Calcium binds to tropomyosin molecules to cause the troponin molecules to shift and expose the actin-binding sites.</t>
  </si>
  <si>
    <t>Calcium binds to troponin molecules to cause the tropomyosin to shift and expose the myosin-binding sites.</t>
  </si>
  <si>
    <t>Calcium binds to troponin molecules to cause the troponin molecules to shift and expose the actin-binding sites.</t>
  </si>
  <si>
    <t>In a woman who is not pregnant, which of the following is true with regard to estrogen and progesterone levels immediately preceding the beginning of menses?</t>
  </si>
  <si>
    <t>Estrogen and progesterone levels both decrease.</t>
  </si>
  <si>
    <t>Estrogen levels decrease while progesterone levels increase.</t>
  </si>
  <si>
    <t>Estrogen levels increase while progesterone levels decrease.</t>
  </si>
  <si>
    <t>Estrogen and progesterone levels both increase.</t>
  </si>
  <si>
    <t>The compound shown below is an example of the broad class of organic compounds known as steroids.</t>
  </si>
  <si>
    <t>alcohol, alkyne, ester</t>
  </si>
  <si>
    <t>alkyne, carboxylic acid, ether</t>
  </si>
  <si>
    <t>alcohol, alkene, ester</t>
  </si>
  <si>
    <t>alcohol, alkyne, ether</t>
  </si>
  <si>
    <t>Iron(III) bromide (FeBr3) is used as a Lewis acid catalyst in a particular reaction of benzene. This means that the iron atom:</t>
  </si>
  <si>
    <t>is electron rich.</t>
  </si>
  <si>
    <t>is able to act as an electron-pair donor.</t>
  </si>
  <si>
    <t>can act as a Brønsted—Lowry acid.</t>
  </si>
  <si>
    <t>is electron deficient.</t>
  </si>
  <si>
    <t>Some scientists have found that the type of nest site chosen by the pythons is, in fact, genetically encoded from birth such that warm nest pythons produce warm nest progeny, and the cool nest pythons produce cool nest progeny. This finding:</t>
  </si>
  <si>
    <t>strengthens Hypothesis 1, because it suggests that the cool nest and warm nest pythons may be genetically distinct from each other.</t>
  </si>
  <si>
    <t>weakens Hypothesis 1, because it suggests that all pythons share similar genes for nest site selection and should not be classified as separate subspecies.</t>
  </si>
  <si>
    <t>strengthens Hypothesis 2, because it reinforces the idea that the pythons do not fit into the conventional r-selected or K-selected groups.</t>
  </si>
  <si>
    <t>weakens Hypothesis 2, because it invalidates the r-selected and K-selected classification schemes.</t>
  </si>
  <si>
    <t>Before the recent python studies, scientists believed that maternal nest attendance, and the amount of time a mother spends guarding the nest and raising the young, did not vary across python species. This belief supports:</t>
  </si>
  <si>
    <t>Hypothesis 1 only.</t>
  </si>
  <si>
    <t>Hypothesis 2 only.</t>
  </si>
  <si>
    <t>both Hypotheses 1 and 2.</t>
  </si>
  <si>
    <t>neither Hypothesis 1 nor Hypothesis 2</t>
  </si>
  <si>
    <t>The main difference between the two hypotheses stated above is that:</t>
  </si>
  <si>
    <t>Hypothesis 1 suggests that cool nest and warm nest pythons cannot be considered the same species, while Hypothesis 2 suggests that because both types of python have the same food sources, they should be considered as a single species.</t>
  </si>
  <si>
    <t>Hypothesis 1, if true, would explain how temperature differences in embryos could affect maturation, while Hypothesis 2 would not.</t>
  </si>
  <si>
    <t>Hypothesis 1 suggests that cooler temperatures allow the formation of K-selected species in general, while warmer temperatures allow the formation of r-selected ones; Hypothesis 2 contradicts this idea.</t>
  </si>
  <si>
    <t>Hypothesis 1 implies that the two types of pythons would fit neatly into r- and K-selection categories if viewed as separate subspecies, while Hypothesis 2 argues against the ease of grouping these two types of reproductive behaviors.</t>
  </si>
  <si>
    <t>If a group of female pythons were found who laid large numbers of eggs during successive reproductive seasons one year apart and remained with these eggs until hatching, this finding would support:</t>
  </si>
  <si>
    <t>both Hypothesis 1 and Hypothesis 2.</t>
  </si>
  <si>
    <t>neither Hypothesis 1 nor Hypothesis 2.</t>
  </si>
  <si>
    <t>Hypothesis 1 suggests that:</t>
  </si>
  <si>
    <t>temperature plays an important role in determining the ability of female pythons to leave their nests alone.</t>
  </si>
  <si>
    <t>cool nests are more likely to result in out-of-control population growth than are warm nests.</t>
  </si>
  <si>
    <t>food sources, such as rats, do not play a role in determining nesting success.</t>
  </si>
  <si>
    <t>boom and bust cycles of birth and death are extremely common in this species of python.</t>
  </si>
  <si>
    <t>Some population ecologists maintain that almost all species fall neatly into one of two categories based on their reproductive strategies and population growth: an r-selected category and a K-selected one. Scientists refer to r-selected species as those that reproduce very quickly, have many of offspring at once, and show little or no parental care for the offspring. Offspring of r-selected species mature quickly and are able to reproduce relatively soon after birth.</t>
  </si>
  <si>
    <t>If people on a meat containing diet generate more acid than base, which of the following responses is likely to occur in people with increased meat consumption?</t>
  </si>
  <si>
    <t>The activity of the tubular Na+/H+ antiporter will decrease</t>
  </si>
  <si>
    <t>The rate of HCO3-reabsorption will increase</t>
  </si>
  <si>
    <t>The rate of ventilation will decrease</t>
  </si>
  <si>
    <t>The rate of filtration will increase</t>
  </si>
  <si>
    <t>Tubular cells maintain a low intracellular concentration of Na+ largely through the action of Na+/K+ ATPase located in the plasma membrane facing the interstitial tissues. What would occur if the action of Na+/K+ ATPase is blocked?</t>
  </si>
  <si>
    <t>The rate of H+ secretion will increase</t>
  </si>
  <si>
    <t>The rate of HCO3- reabsorption will decrease</t>
  </si>
  <si>
    <t>Tubular cells will shrink in volume</t>
  </si>
  <si>
    <t>The pH of the blood will rise</t>
  </si>
  <si>
    <t>A condition known as metabolic acidosis can result from increased acid production or acid administration into the blood. All of the following adaptations can be useful in restoring plasma pH during metabolic acidosis EXCEPT:</t>
  </si>
  <si>
    <t>expression of proton pumps on the luminal surface of the tubular cells.</t>
  </si>
  <si>
    <t>rapid stimulation of brainstem chemoreceptors.</t>
  </si>
  <si>
    <t>decrease in the activity of carbonic anhydrase in the tubular cells.</t>
  </si>
  <si>
    <t>increase in the rate and the depth of breathing.</t>
  </si>
  <si>
    <t>If an individual voluntarily elevates ventilation rate by increasing the rate and the depth of breathing, then which of the following renal compensatory mechanisms would be helpful for maintaining plasma pH?</t>
  </si>
  <si>
    <t>Decreased filtration of HCO3-</t>
  </si>
  <si>
    <t>Increased urine pH</t>
  </si>
  <si>
    <t>Decreased absorption of HCO3-</t>
  </si>
  <si>
    <t>Increased urine volume</t>
  </si>
  <si>
    <t>Which of the following will increase blood's buffering capacity?</t>
  </si>
  <si>
    <t>Increased blood volume</t>
  </si>
  <si>
    <t>Doubled concentration of HCO3-.</t>
  </si>
  <si>
    <t>Administration of carbonic anhydrase inhibitors</t>
  </si>
  <si>
    <t>Increased concentration of H+</t>
  </si>
  <si>
    <t>What would be the effect of a drug that selectively inhibits carbonic anhydrase in the lumen of the tubule without affecting carbonic anhydrase elsewhere?</t>
  </si>
  <si>
    <t>Increased amounts of H+ will be secreted but lower amounts of HCO3- will be reabsorbed.</t>
  </si>
  <si>
    <t>Increased amounts of H+ will be reabsorbed but lower amounts of HCO3- will be secreted.</t>
  </si>
  <si>
    <t>Both the amount of H+ secreted and the amount of HCO3- reabsorbed will be decreased.</t>
  </si>
  <si>
    <t>Both the amount of H+ secreted and the amount of HCO3- reabsorbed will be increased.</t>
  </si>
  <si>
    <t>Many of the body's metabolic functions are very sensitive to pH, and normal function can occur only within a very narrow pH range. To maintain normal pH range, addition of acid or base to the body must first be buffered in the plasma by the buffer system. The bicarbonate buffer system is one of the major buffers of the mammalian blood that uses carbonic anhydrase to catalyze the following reaction:</t>
  </si>
  <si>
    <t>The Kent reaction in Figure 3 is an example of which of the following reactions?</t>
  </si>
  <si>
    <t>Double nucleophilic acyl substitution</t>
  </si>
  <si>
    <t>Transesterification</t>
  </si>
  <si>
    <t>Michael addition and Robinson annulation followed by ring-opening</t>
  </si>
  <si>
    <t>Why might a chemist who has synthesized lysozyme, an enzyme that catalyzes the hydrolysis of bonds between sugars, have difficulty obtaining the enzyme's active form in the presence of the reducing agent 2-mercaptoethanol?</t>
  </si>
  <si>
    <t>2-mercaptoethanol reversibly inhibits the lysozyme by binding to its active site</t>
  </si>
  <si>
    <t>2-mercaptoethanol reduces the carbonyls in the peptide backbone to amines, thus inactivating the enzyme.</t>
  </si>
  <si>
    <t>The Boc protecting group is cleaved by 2-mercaptoethanol, and protein synthesis will consequently be less efficient.</t>
  </si>
  <si>
    <t>The lysozyme cannot fold correctly because the disulfide bonds between cysteine residues in the enzymes are reduced in the presence of 2-mercaptoethanol to produce free thiols.</t>
  </si>
  <si>
    <t>Which of the following is the most likely mechanism for removal of a Boc protecting group?</t>
  </si>
  <si>
    <t>Why does the newly added amino acid need to be protected?</t>
  </si>
  <si>
    <t>Side chains of the amino acids in the polypeptide chain may react with the amine of the newly added amino acid.</t>
  </si>
  <si>
    <t>The unprotected amino acid could react with itself rather than with the resin-bound chain.</t>
  </si>
  <si>
    <t>The Boc group renders the amino acid more reactive.</t>
  </si>
  <si>
    <t>Unprotected amino acids are insoluble in the solvents used in solid-phase peptide synthesis.</t>
  </si>
  <si>
    <t>What is the pI of aspartic acid, given the pKas for the following functional groups: peptide carboxylic acid 1.88, side-chain carboxylic acid 3.65, amide 9.60?</t>
  </si>
  <si>
    <t>2.76</t>
  </si>
  <si>
    <t>3.65</t>
  </si>
  <si>
    <t>5.04</t>
  </si>
  <si>
    <t>6.63</t>
  </si>
  <si>
    <t>The structure of lysine is shown below. Why is the Boc group an inappropriate protecting group for the side chains of lysine residues?</t>
  </si>
  <si>
    <t>The basic amine side chain of lysine would react with the Boc group to inactivate it.</t>
  </si>
  <si>
    <t>The Boc group cannot be removed from a side chain amine by the same mechanism as from a main chain amine.</t>
  </si>
  <si>
    <t>After deprotection, the lysine side chain can react with incoming amino acids, leading to unwanted side products.</t>
  </si>
  <si>
    <t>During deprotection, the amine side chain would undergo SN1 reaction with the Boc group to form a secondary amine.</t>
  </si>
  <si>
    <t>Proteins are important biological macromolecules made up of amino acids. They function to add cellular structure and support, signal transduction pathways, facilitate oxygen transport, and provide defense from pathogens. Because of the extreme length of many proteins, the chemical synthesis of polypeptides in good yield is difficult. Furthermore, amino acids are highly-functionalized molecules. All amino acids contain carboxylic acid and amide groups and many contain additional functional groups on their side chains. Because of their complex structure, prevention of undesirable side reactions is often difficult.</t>
  </si>
  <si>
    <t>In a particular population, for a trait with two alleles, the frequency of individuals expressing the recessive phenotype is 0.36. What is this population's frequency of individuals with the homozygous dominant genotype?</t>
  </si>
  <si>
    <t>0.16</t>
  </si>
  <si>
    <t>0.6</t>
  </si>
  <si>
    <t>0.36</t>
  </si>
  <si>
    <t>0.64</t>
  </si>
  <si>
    <t>Patent ductus arteriosus is a condition that results from a failure of the ductus arteriosus to close completely after birth. Patent ductus arteriosus would result in blood flow from the:</t>
  </si>
  <si>
    <t>right atrium to the left atrium.</t>
  </si>
  <si>
    <t>right atrium to the right ventricle.</t>
  </si>
  <si>
    <t>liver to the inferior vena cava.</t>
  </si>
  <si>
    <t>aorta to the pulmonary artery.</t>
  </si>
  <si>
    <t>In a particular species of plant, the alleles for flower color display incomplete dominance. When a pure-breeding plant with white flowers is crossed with a pure-breeding plant with red flowers, the resultant plants bear pink flowers. If two plants with pink flowers are crossed:</t>
  </si>
  <si>
    <t>100% of the resultant plants will produce red flowers.</t>
  </si>
  <si>
    <t>100 % of the resultant plants will produce pink flowers.</t>
  </si>
  <si>
    <t>50% of the resultant plants will produce red flowers, while the other 50% will produce white flowers.</t>
  </si>
  <si>
    <t>25% of the resultant plants will produce red flowers, 50% will produce pink flowers, and 25% will produce white flowers.</t>
  </si>
  <si>
    <t>Color blindness is an X-linked recessive disorder in humans. A woman who is color-blind marries a man with normal color vision. If the couple has three children, what is the probability that all three children will have normal color vision?</t>
  </si>
  <si>
    <t>Chemical digestion of carbohydrates takes place in the:</t>
  </si>
  <si>
    <t>h020468.01</t>
  </si>
  <si>
    <t>h020468.02</t>
  </si>
  <si>
    <t>h020468.03</t>
  </si>
  <si>
    <t>h020468.04</t>
  </si>
  <si>
    <t>h020468.05</t>
  </si>
  <si>
    <t>h020468.06</t>
  </si>
  <si>
    <t>hds020469.01</t>
  </si>
  <si>
    <t>hds020469.02</t>
  </si>
  <si>
    <t>hds020469.03</t>
  </si>
  <si>
    <t>hds020469.04</t>
  </si>
  <si>
    <t>hds020469.05</t>
  </si>
  <si>
    <t>h006003.01</t>
  </si>
  <si>
    <t>h006003.02</t>
  </si>
  <si>
    <t>h006003.03</t>
  </si>
  <si>
    <t>h006003.04</t>
  </si>
  <si>
    <t>hds020470.01</t>
  </si>
  <si>
    <t>hds020470.02</t>
  </si>
  <si>
    <t>hds020470.03</t>
  </si>
  <si>
    <t>hds020470.04</t>
  </si>
  <si>
    <t>h020471.01</t>
  </si>
  <si>
    <t>h020471.02</t>
  </si>
  <si>
    <t>h020471.03</t>
  </si>
  <si>
    <t>h020471.04</t>
  </si>
  <si>
    <t>h020471.05</t>
  </si>
  <si>
    <t>h020471.06</t>
  </si>
  <si>
    <t>hds004030.01</t>
  </si>
  <si>
    <t>hds004030.02</t>
  </si>
  <si>
    <t>hds004030.03</t>
  </si>
  <si>
    <t>hds004030.04</t>
  </si>
  <si>
    <t>h020473.01</t>
  </si>
  <si>
    <t>h020473.02</t>
  </si>
  <si>
    <t>h020473.03</t>
  </si>
  <si>
    <t>h020473.04</t>
  </si>
  <si>
    <t>h020473.05</t>
  </si>
  <si>
    <t>h020473.06</t>
  </si>
  <si>
    <t>h020474.01</t>
  </si>
  <si>
    <t>h020474.02</t>
  </si>
  <si>
    <t>h020474.03</t>
  </si>
  <si>
    <t>h020474.04</t>
  </si>
  <si>
    <t>h020474.05</t>
  </si>
  <si>
    <t>h020474.06</t>
  </si>
  <si>
    <t>h020476.01</t>
  </si>
  <si>
    <t>h020476.02</t>
  </si>
  <si>
    <t>h020476.03</t>
  </si>
  <si>
    <t>h020476.04</t>
  </si>
  <si>
    <t>h020476.05</t>
  </si>
  <si>
    <t>h020476.06</t>
  </si>
  <si>
    <t>h004060ps.01</t>
  </si>
  <si>
    <t>h004060ps.02</t>
  </si>
  <si>
    <t>h004060ps.03</t>
  </si>
  <si>
    <t>h004060ps.04</t>
  </si>
  <si>
    <t>h004060ps.05</t>
  </si>
  <si>
    <t>h020482.01</t>
  </si>
  <si>
    <t>h020482.02</t>
  </si>
  <si>
    <t>h020482.03</t>
  </si>
  <si>
    <t>h020482.04</t>
  </si>
  <si>
    <t>h020482.05</t>
  </si>
  <si>
    <t>h020482.06</t>
  </si>
  <si>
    <t>hds020483.01</t>
  </si>
  <si>
    <t>hds020483.02</t>
  </si>
  <si>
    <t>hds020483.03</t>
  </si>
  <si>
    <t>hds020483.04</t>
  </si>
  <si>
    <t>hds020483.05</t>
  </si>
  <si>
    <t>hds020483.06</t>
  </si>
  <si>
    <t>hds020484.01</t>
  </si>
  <si>
    <t>hds020484.02</t>
  </si>
  <si>
    <t>hds020484.03</t>
  </si>
  <si>
    <t>hds020484.04</t>
  </si>
  <si>
    <t>hds020484.05</t>
  </si>
  <si>
    <t>hds020484.06</t>
  </si>
  <si>
    <t>hds020484.07</t>
  </si>
  <si>
    <t>hds020485.01</t>
  </si>
  <si>
    <t>hds020485.02</t>
  </si>
  <si>
    <t>hds020485.03</t>
  </si>
  <si>
    <t>hds020485.04</t>
  </si>
  <si>
    <t>hds020485.05</t>
  </si>
  <si>
    <t>h020486.01</t>
  </si>
  <si>
    <t>h020486.02</t>
  </si>
  <si>
    <t>h020486.03</t>
  </si>
  <si>
    <t>h020486.04</t>
  </si>
  <si>
    <t>h020486.05</t>
  </si>
  <si>
    <t>h020486.06</t>
  </si>
  <si>
    <t>h020542.01</t>
  </si>
  <si>
    <t>h020542.02</t>
  </si>
  <si>
    <t>h020542.03</t>
  </si>
  <si>
    <t>h020542.04</t>
  </si>
  <si>
    <t>h020542.05</t>
  </si>
  <si>
    <t>hds020425.01</t>
  </si>
  <si>
    <t>hds020425.02</t>
  </si>
  <si>
    <t>hds020425.03</t>
  </si>
  <si>
    <t>hds020425.04</t>
  </si>
  <si>
    <t>hds020425.05</t>
  </si>
  <si>
    <t>h020489.01</t>
  </si>
  <si>
    <t>h020489.02</t>
  </si>
  <si>
    <t>h020489.03</t>
  </si>
  <si>
    <t>h020489.04</t>
  </si>
  <si>
    <t>h020489.05</t>
  </si>
  <si>
    <t>h020489.06</t>
  </si>
  <si>
    <t>hds020338.01</t>
  </si>
  <si>
    <t>hds020338.02</t>
  </si>
  <si>
    <t>hds020338.03</t>
  </si>
  <si>
    <t>hds020338.04</t>
  </si>
  <si>
    <t>hds020338.05</t>
  </si>
  <si>
    <t>h006009.01</t>
  </si>
  <si>
    <t>h006009.02</t>
  </si>
  <si>
    <t>h006009.03</t>
  </si>
  <si>
    <t>h006009.04</t>
  </si>
  <si>
    <t>h020491.01</t>
  </si>
  <si>
    <t>h020491.02</t>
  </si>
  <si>
    <t>h020491.03</t>
  </si>
  <si>
    <t>h020491.04</t>
  </si>
  <si>
    <t>h020491.05</t>
  </si>
  <si>
    <t>h020491.06</t>
  </si>
  <si>
    <t>h020493.01</t>
  </si>
  <si>
    <t>h020493.02</t>
  </si>
  <si>
    <t>h020493.03</t>
  </si>
  <si>
    <t>h020493.04</t>
  </si>
  <si>
    <t>h020493.05</t>
  </si>
  <si>
    <t>hds004165.01</t>
  </si>
  <si>
    <t>hds004165.02</t>
  </si>
  <si>
    <t>hds004165.03</t>
  </si>
  <si>
    <t>hds004165.04</t>
  </si>
  <si>
    <t>h020496.01</t>
  </si>
  <si>
    <t>h020496.02</t>
  </si>
  <si>
    <t>h020496.03</t>
  </si>
  <si>
    <t>h020496.04</t>
  </si>
  <si>
    <t>h020496.05</t>
  </si>
  <si>
    <t>h020497bs.01</t>
  </si>
  <si>
    <t>h020497bs.02</t>
  </si>
  <si>
    <t>h020497bs.03</t>
  </si>
  <si>
    <t>h020497bs.04</t>
  </si>
  <si>
    <t>h020497bs.05</t>
  </si>
  <si>
    <t>h020497bs.06</t>
  </si>
  <si>
    <t>hds020498.01</t>
  </si>
  <si>
    <t>hds020498.02</t>
  </si>
  <si>
    <t>hds020498.03</t>
  </si>
  <si>
    <t>hds020498.04</t>
  </si>
  <si>
    <t>hds020498.05</t>
  </si>
  <si>
    <t>hds020498.06</t>
  </si>
  <si>
    <t>h004191bs.01</t>
  </si>
  <si>
    <t>h004191bs.02</t>
  </si>
  <si>
    <t>h004191bs.03</t>
  </si>
  <si>
    <t>h004191bs.04</t>
  </si>
  <si>
    <t>h004191bs.05</t>
  </si>
  <si>
    <t>y</t>
  </si>
  <si>
    <t>The MCAT Full-Length Test you will complete next is similar in content and format to what you will see on Test Day.</t>
  </si>
  <si>
    <t>Verbal Reasoning - 40 questions, 60 minutes</t>
  </si>
  <si>
    <t>To move on to the next section, or if you want to skip around in a section click the Review button at the bottom of the test screen to move to Item Review page. You will also be taken to Item Review at the end of each section. From there, you can click End to move to the Next Section or to submit your test from Item Review for the last section. Note: you cannot return to a section once you exit it.</t>
  </si>
  <si>
    <t>The scaled scores you receive for the Physical Sciences, Biological Sciences, Verbal Reasoning tests and your overall score should be a good general indicator of your MCAT competency in those areas, but should not be taken as definitive.</t>
  </si>
  <si>
    <t>MCAT Full Length 8 - Break</t>
  </si>
  <si>
    <t>1st</t>
  </si>
  <si>
    <t>8th</t>
  </si>
  <si>
    <t>2nd</t>
  </si>
</sst>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1"/>
      <color theme="1"/>
      <name val="Calibri"/>
      <family val="2"/>
      <scheme val="minor"/>
    </font>
    <font>
      <sz val="12"/>
      <color theme="1"/>
      <name val="Calibri"/>
      <family val="2"/>
      <scheme val="minor"/>
    </font>
    <font>
      <sz val="8"/>
      <color theme="1"/>
      <name val="Arial"/>
      <family val="2"/>
    </font>
    <font>
      <b/>
      <sz val="8"/>
      <color theme="1"/>
      <name val="Arial"/>
      <family val="2"/>
    </font>
    <font>
      <sz val="8"/>
      <name val="Arial"/>
      <family val="2"/>
    </font>
  </fonts>
  <fills count="7">
    <fill>
      <patternFill patternType="none"/>
    </fill>
    <fill>
      <patternFill patternType="gray125"/>
    </fill>
    <fill>
      <patternFill patternType="solid">
        <fgColor rgb="FFFFFF00"/>
        <bgColor indexed="64"/>
      </patternFill>
    </fill>
    <fill>
      <patternFill patternType="solid">
        <fgColor theme="8" tint="0.79998168889431442"/>
        <bgColor indexed="64"/>
      </patternFill>
    </fill>
    <fill>
      <patternFill patternType="solid">
        <fgColor rgb="FFFFFF99"/>
        <bgColor indexed="64"/>
      </patternFill>
    </fill>
    <fill>
      <patternFill patternType="solid">
        <fgColor theme="4" tint="0.79998168889431442"/>
        <bgColor indexed="64"/>
      </patternFill>
    </fill>
    <fill>
      <patternFill patternType="solid">
        <fgColor theme="3" tint="0.79998168889431442"/>
        <bgColor indexed="64"/>
      </patternFill>
    </fill>
  </fills>
  <borders count="1">
    <border>
      <left/>
      <right/>
      <top/>
      <bottom/>
      <diagonal/>
    </border>
  </borders>
  <cellStyleXfs count="2">
    <xf numFmtId="0" fontId="0" fillId="0" borderId="0"/>
    <xf numFmtId="0" fontId="1" fillId="0" borderId="0"/>
  </cellStyleXfs>
  <cellXfs count="18">
    <xf numFmtId="0" fontId="0" fillId="0" borderId="0" xfId="0"/>
    <xf numFmtId="0" fontId="2" fillId="0" borderId="0" xfId="0" applyFont="1" applyAlignment="1">
      <alignment wrapText="1"/>
    </xf>
    <xf numFmtId="0" fontId="2" fillId="0" borderId="0" xfId="0" applyFont="1"/>
    <xf numFmtId="1" fontId="2" fillId="0" borderId="0" xfId="0" applyNumberFormat="1" applyFont="1"/>
    <xf numFmtId="0" fontId="2" fillId="0" borderId="0" xfId="0" applyNumberFormat="1" applyFont="1"/>
    <xf numFmtId="0" fontId="2" fillId="3" borderId="0" xfId="0" applyFont="1" applyFill="1"/>
    <xf numFmtId="1" fontId="2" fillId="3" borderId="0" xfId="0" applyNumberFormat="1" applyFont="1" applyFill="1"/>
    <xf numFmtId="0" fontId="2" fillId="3" borderId="0" xfId="0" applyNumberFormat="1" applyFont="1" applyFill="1"/>
    <xf numFmtId="0" fontId="2" fillId="4" borderId="0" xfId="0" applyNumberFormat="1" applyFont="1" applyFill="1"/>
    <xf numFmtId="0" fontId="2" fillId="0" borderId="0" xfId="1" applyFont="1" applyAlignment="1">
      <alignment wrapText="1"/>
    </xf>
    <xf numFmtId="0" fontId="3" fillId="5" borderId="0" xfId="1" applyNumberFormat="1" applyFont="1" applyFill="1" applyAlignment="1">
      <alignment wrapText="1"/>
    </xf>
    <xf numFmtId="0" fontId="3" fillId="2" borderId="0" xfId="0" applyFont="1" applyFill="1"/>
    <xf numFmtId="0" fontId="3" fillId="2" borderId="0" xfId="0" applyNumberFormat="1" applyFont="1" applyFill="1"/>
    <xf numFmtId="0" fontId="3" fillId="0" borderId="0" xfId="0" applyFont="1"/>
    <xf numFmtId="0" fontId="3" fillId="5" borderId="0" xfId="0" applyFont="1" applyFill="1" applyAlignment="1">
      <alignment wrapText="1"/>
    </xf>
    <xf numFmtId="0" fontId="0" fillId="5" borderId="0" xfId="0" applyFill="1"/>
    <xf numFmtId="0" fontId="3" fillId="6" borderId="0" xfId="0" applyFont="1" applyFill="1"/>
    <xf numFmtId="0" fontId="4" fillId="0" borderId="0" xfId="0" applyFont="1"/>
  </cellXfs>
  <cellStyles count="2">
    <cellStyle name="Normal" xfId="0" builtinId="0"/>
    <cellStyle name="Normal 2" xfId="1"/>
  </cellStyles>
  <dxfs count="0"/>
  <tableStyles count="0" defaultTableStyle="TableStyleMedium2" defaultPivotStyle="PivotStyleLight16"/>
  <colors>
    <mruColors>
      <color rgb="FFFFFF99"/>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X145"/>
  <sheetViews>
    <sheetView topLeftCell="F1" workbookViewId="0">
      <selection activeCell="L1" activeCellId="1" sqref="N1:N1048576 L1:L1048576"/>
    </sheetView>
  </sheetViews>
  <sheetFormatPr defaultRowHeight="11.25" x14ac:dyDescent="0.2"/>
  <cols>
    <col min="1" max="1" width="9.140625" style="2" customWidth="1" collapsed="1"/>
    <col min="2" max="2" width="16.28515625" style="2" customWidth="1" collapsed="1"/>
    <col min="3" max="3" width="9.7109375" style="2" customWidth="1" collapsed="1"/>
    <col min="4" max="4" width="13.28515625" style="2" customWidth="1" collapsed="1"/>
    <col min="5" max="5" width="5.140625" style="2" customWidth="1" collapsed="1"/>
    <col min="6" max="6" width="10" style="3" customWidth="1" collapsed="1"/>
    <col min="7" max="7" width="7.7109375" style="2" customWidth="1" collapsed="1"/>
    <col min="8" max="8" width="7.140625" style="8" customWidth="1" collapsed="1"/>
    <col min="9" max="9" width="5.42578125" style="8" customWidth="1" collapsed="1"/>
    <col min="10" max="10" width="8.7109375" style="2" bestFit="1" customWidth="1" collapsed="1"/>
    <col min="11" max="11" width="12.42578125" style="2" customWidth="1" collapsed="1"/>
    <col min="12" max="12" width="27.42578125" style="2" customWidth="1" collapsed="1"/>
    <col min="13" max="21" width="9.140625" style="2"/>
    <col min="22" max="22" width="9.140625" style="2" collapsed="1"/>
    <col min="23" max="24" width="9.140625" style="2"/>
    <col min="25" max="16384" width="9.140625" style="2" collapsed="1"/>
  </cols>
  <sheetData>
    <row r="1" spans="1:12" s="5" customFormat="1" x14ac:dyDescent="0.2">
      <c r="A1" s="5" t="s">
        <v>2</v>
      </c>
      <c r="B1" s="5" t="s">
        <v>65</v>
      </c>
      <c r="C1" s="5" t="s">
        <v>16</v>
      </c>
      <c r="D1" s="5" t="s">
        <v>67</v>
      </c>
      <c r="E1" s="5" t="s">
        <v>17</v>
      </c>
      <c r="F1" s="6" t="s">
        <v>15</v>
      </c>
      <c r="G1" s="5" t="s">
        <v>66</v>
      </c>
      <c r="H1" s="5" t="s">
        <v>14</v>
      </c>
      <c r="I1" s="5" t="s">
        <v>88</v>
      </c>
      <c r="J1" s="7" t="s">
        <v>13</v>
      </c>
      <c r="K1" s="7" t="s">
        <v>62</v>
      </c>
      <c r="L1" s="7" t="s">
        <v>28</v>
      </c>
    </row>
    <row r="2" spans="1:12" x14ac:dyDescent="0.2">
      <c r="A2" s="2" t="s">
        <v>3</v>
      </c>
      <c r="B2" s="2" t="s">
        <v>151</v>
      </c>
      <c r="C2" s="2" t="s">
        <v>7</v>
      </c>
      <c r="D2" s="2" t="s">
        <v>806</v>
      </c>
      <c r="E2" s="2">
        <v>1</v>
      </c>
      <c r="F2" s="3">
        <v>1</v>
      </c>
      <c r="G2" s="2">
        <v>1</v>
      </c>
      <c r="H2" s="8">
        <v>1</v>
      </c>
      <c r="J2" s="4">
        <v>4</v>
      </c>
      <c r="K2" s="2" t="str">
        <f t="shared" ref="K2:K78" si="0">IF(H2=J2,"resp-correct","resp-inc")</f>
        <v>resp-inc</v>
      </c>
      <c r="L2" s="4" t="s">
        <v>128</v>
      </c>
    </row>
    <row r="3" spans="1:12" x14ac:dyDescent="0.2">
      <c r="A3" s="2" t="s">
        <v>3</v>
      </c>
      <c r="B3" s="2" t="s">
        <v>151</v>
      </c>
      <c r="C3" s="2" t="s">
        <v>7</v>
      </c>
      <c r="D3" s="2" t="s">
        <v>807</v>
      </c>
      <c r="E3" s="2">
        <v>1</v>
      </c>
      <c r="F3" s="3">
        <v>2</v>
      </c>
      <c r="G3" s="2">
        <v>2</v>
      </c>
      <c r="H3" s="8">
        <v>2</v>
      </c>
      <c r="J3" s="4">
        <v>4</v>
      </c>
      <c r="K3" s="2" t="str">
        <f t="shared" si="0"/>
        <v>resp-inc</v>
      </c>
      <c r="L3" s="4" t="s">
        <v>128</v>
      </c>
    </row>
    <row r="4" spans="1:12" x14ac:dyDescent="0.2">
      <c r="A4" s="2" t="s">
        <v>3</v>
      </c>
      <c r="B4" s="2" t="s">
        <v>151</v>
      </c>
      <c r="C4" s="2" t="s">
        <v>7</v>
      </c>
      <c r="D4" s="2" t="s">
        <v>808</v>
      </c>
      <c r="E4" s="2">
        <v>1</v>
      </c>
      <c r="F4" s="3">
        <v>3</v>
      </c>
      <c r="G4" s="2">
        <v>3</v>
      </c>
      <c r="H4" s="8">
        <v>1</v>
      </c>
      <c r="J4" s="4">
        <v>1</v>
      </c>
      <c r="K4" s="2" t="str">
        <f t="shared" si="0"/>
        <v>resp-correct</v>
      </c>
      <c r="L4" s="4" t="s">
        <v>128</v>
      </c>
    </row>
    <row r="5" spans="1:12" x14ac:dyDescent="0.2">
      <c r="A5" s="2" t="s">
        <v>3</v>
      </c>
      <c r="B5" s="2" t="s">
        <v>151</v>
      </c>
      <c r="C5" s="2" t="s">
        <v>7</v>
      </c>
      <c r="D5" s="2" t="s">
        <v>809</v>
      </c>
      <c r="E5" s="2">
        <v>1</v>
      </c>
      <c r="F5" s="3">
        <v>4</v>
      </c>
      <c r="G5" s="2">
        <v>4</v>
      </c>
      <c r="H5" s="8">
        <v>1</v>
      </c>
      <c r="J5" s="4">
        <v>2</v>
      </c>
      <c r="K5" s="2" t="str">
        <f t="shared" si="0"/>
        <v>resp-inc</v>
      </c>
      <c r="L5" s="4" t="s">
        <v>128</v>
      </c>
    </row>
    <row r="6" spans="1:12" x14ac:dyDescent="0.2">
      <c r="A6" s="2" t="s">
        <v>3</v>
      </c>
      <c r="B6" s="2" t="s">
        <v>151</v>
      </c>
      <c r="C6" s="2" t="s">
        <v>7</v>
      </c>
      <c r="D6" s="2" t="s">
        <v>810</v>
      </c>
      <c r="E6" s="2">
        <v>1</v>
      </c>
      <c r="F6" s="3">
        <v>5</v>
      </c>
      <c r="G6" s="2">
        <v>5</v>
      </c>
      <c r="H6" s="8">
        <v>2</v>
      </c>
      <c r="I6" s="8" t="s">
        <v>950</v>
      </c>
      <c r="J6" s="4">
        <v>4</v>
      </c>
      <c r="K6" s="2" t="str">
        <f t="shared" si="0"/>
        <v>resp-inc</v>
      </c>
      <c r="L6" s="4" t="s">
        <v>128</v>
      </c>
    </row>
    <row r="7" spans="1:12" x14ac:dyDescent="0.2">
      <c r="A7" s="2" t="s">
        <v>3</v>
      </c>
      <c r="B7" s="2" t="s">
        <v>151</v>
      </c>
      <c r="C7" s="2" t="s">
        <v>7</v>
      </c>
      <c r="D7" s="2" t="s">
        <v>811</v>
      </c>
      <c r="E7" s="2">
        <v>1</v>
      </c>
      <c r="F7" s="3">
        <v>6</v>
      </c>
      <c r="G7" s="2">
        <v>6</v>
      </c>
      <c r="H7" s="8">
        <v>2</v>
      </c>
      <c r="J7" s="4">
        <v>1</v>
      </c>
      <c r="K7" s="2" t="str">
        <f t="shared" si="0"/>
        <v>resp-inc</v>
      </c>
      <c r="L7" s="4" t="s">
        <v>128</v>
      </c>
    </row>
    <row r="8" spans="1:12" x14ac:dyDescent="0.2">
      <c r="A8" s="2" t="s">
        <v>3</v>
      </c>
      <c r="B8" s="2" t="s">
        <v>151</v>
      </c>
      <c r="C8" s="2" t="s">
        <v>8</v>
      </c>
      <c r="D8" s="2" t="s">
        <v>812</v>
      </c>
      <c r="E8" s="2">
        <v>2</v>
      </c>
      <c r="F8" s="3">
        <v>1</v>
      </c>
      <c r="G8" s="2">
        <v>7</v>
      </c>
      <c r="H8" s="8">
        <v>2</v>
      </c>
      <c r="J8" s="4">
        <v>1</v>
      </c>
      <c r="K8" s="2" t="str">
        <f t="shared" si="0"/>
        <v>resp-inc</v>
      </c>
      <c r="L8" s="4" t="s">
        <v>32</v>
      </c>
    </row>
    <row r="9" spans="1:12" x14ac:dyDescent="0.2">
      <c r="A9" s="2" t="s">
        <v>3</v>
      </c>
      <c r="B9" s="2" t="s">
        <v>151</v>
      </c>
      <c r="C9" s="2" t="s">
        <v>8</v>
      </c>
      <c r="D9" s="2" t="s">
        <v>813</v>
      </c>
      <c r="E9" s="2">
        <v>2</v>
      </c>
      <c r="F9" s="3">
        <v>2</v>
      </c>
      <c r="G9" s="2">
        <v>8</v>
      </c>
      <c r="H9" s="8">
        <v>2</v>
      </c>
      <c r="J9" s="4">
        <v>3</v>
      </c>
      <c r="K9" s="2" t="str">
        <f t="shared" si="0"/>
        <v>resp-inc</v>
      </c>
      <c r="L9" s="2" t="s">
        <v>64</v>
      </c>
    </row>
    <row r="10" spans="1:12" x14ac:dyDescent="0.2">
      <c r="A10" s="2" t="s">
        <v>3</v>
      </c>
      <c r="B10" s="2" t="s">
        <v>151</v>
      </c>
      <c r="C10" s="2" t="s">
        <v>8</v>
      </c>
      <c r="D10" s="2" t="s">
        <v>814</v>
      </c>
      <c r="E10" s="2">
        <v>2</v>
      </c>
      <c r="F10" s="3">
        <v>3</v>
      </c>
      <c r="G10" s="2">
        <v>9</v>
      </c>
      <c r="J10" s="4">
        <v>3</v>
      </c>
      <c r="K10" s="2" t="str">
        <f t="shared" si="0"/>
        <v>resp-inc</v>
      </c>
      <c r="L10" s="2" t="s">
        <v>32</v>
      </c>
    </row>
    <row r="11" spans="1:12" x14ac:dyDescent="0.2">
      <c r="A11" s="2" t="s">
        <v>3</v>
      </c>
      <c r="B11" s="2" t="s">
        <v>151</v>
      </c>
      <c r="C11" s="2" t="s">
        <v>8</v>
      </c>
      <c r="D11" s="2" t="s">
        <v>815</v>
      </c>
      <c r="E11" s="2">
        <v>2</v>
      </c>
      <c r="F11" s="3">
        <v>4</v>
      </c>
      <c r="G11" s="2">
        <v>10</v>
      </c>
      <c r="H11" s="8">
        <v>2</v>
      </c>
      <c r="J11" s="4">
        <v>3</v>
      </c>
      <c r="K11" s="2" t="str">
        <f t="shared" si="0"/>
        <v>resp-inc</v>
      </c>
      <c r="L11" s="2" t="s">
        <v>32</v>
      </c>
    </row>
    <row r="12" spans="1:12" x14ac:dyDescent="0.2">
      <c r="A12" s="2" t="s">
        <v>3</v>
      </c>
      <c r="B12" s="2" t="s">
        <v>151</v>
      </c>
      <c r="C12" s="2" t="s">
        <v>8</v>
      </c>
      <c r="D12" s="2" t="s">
        <v>816</v>
      </c>
      <c r="E12" s="2">
        <v>2</v>
      </c>
      <c r="F12" s="3">
        <v>5</v>
      </c>
      <c r="G12" s="2">
        <v>11</v>
      </c>
      <c r="H12" s="8">
        <v>3</v>
      </c>
      <c r="J12" s="4">
        <v>2</v>
      </c>
      <c r="K12" s="2" t="str">
        <f t="shared" si="0"/>
        <v>resp-inc</v>
      </c>
      <c r="L12" s="4" t="s">
        <v>32</v>
      </c>
    </row>
    <row r="13" spans="1:12" x14ac:dyDescent="0.2">
      <c r="A13" s="2" t="s">
        <v>3</v>
      </c>
      <c r="B13" s="2" t="s">
        <v>151</v>
      </c>
      <c r="C13" s="2" t="s">
        <v>6</v>
      </c>
      <c r="D13" s="2" t="s">
        <v>817</v>
      </c>
      <c r="E13" s="2">
        <v>3</v>
      </c>
      <c r="F13" s="3">
        <v>1</v>
      </c>
      <c r="G13" s="2">
        <v>12</v>
      </c>
      <c r="H13" s="8">
        <v>3</v>
      </c>
      <c r="J13" s="4">
        <v>3</v>
      </c>
      <c r="K13" s="2" t="str">
        <f t="shared" si="0"/>
        <v>resp-correct</v>
      </c>
      <c r="L13" s="4" t="s">
        <v>37</v>
      </c>
    </row>
    <row r="14" spans="1:12" x14ac:dyDescent="0.2">
      <c r="A14" s="2" t="s">
        <v>3</v>
      </c>
      <c r="B14" s="2" t="s">
        <v>151</v>
      </c>
      <c r="C14" s="2" t="s">
        <v>6</v>
      </c>
      <c r="D14" s="2" t="s">
        <v>818</v>
      </c>
      <c r="E14" s="2">
        <v>3</v>
      </c>
      <c r="F14" s="3">
        <v>2</v>
      </c>
      <c r="G14" s="2">
        <v>13</v>
      </c>
      <c r="H14" s="8">
        <v>3</v>
      </c>
      <c r="J14" s="4">
        <v>3</v>
      </c>
      <c r="K14" s="2" t="str">
        <f t="shared" si="0"/>
        <v>resp-correct</v>
      </c>
      <c r="L14" s="2" t="s">
        <v>34</v>
      </c>
    </row>
    <row r="15" spans="1:12" x14ac:dyDescent="0.2">
      <c r="A15" s="2" t="s">
        <v>3</v>
      </c>
      <c r="B15" s="2" t="s">
        <v>151</v>
      </c>
      <c r="C15" s="2" t="s">
        <v>6</v>
      </c>
      <c r="D15" s="2" t="s">
        <v>819</v>
      </c>
      <c r="E15" s="2">
        <v>3</v>
      </c>
      <c r="F15" s="3">
        <v>3</v>
      </c>
      <c r="G15" s="2">
        <v>14</v>
      </c>
      <c r="H15" s="8">
        <v>3</v>
      </c>
      <c r="J15" s="4">
        <v>1</v>
      </c>
      <c r="K15" s="2" t="str">
        <f t="shared" si="0"/>
        <v>resp-inc</v>
      </c>
      <c r="L15" s="2" t="s">
        <v>32</v>
      </c>
    </row>
    <row r="16" spans="1:12" x14ac:dyDescent="0.2">
      <c r="A16" s="2" t="s">
        <v>3</v>
      </c>
      <c r="B16" s="2" t="s">
        <v>151</v>
      </c>
      <c r="C16" s="2" t="s">
        <v>6</v>
      </c>
      <c r="D16" s="2" t="s">
        <v>820</v>
      </c>
      <c r="E16" s="2">
        <v>3</v>
      </c>
      <c r="F16" s="3">
        <v>4</v>
      </c>
      <c r="G16" s="2">
        <v>15</v>
      </c>
      <c r="H16" s="8">
        <v>3</v>
      </c>
      <c r="J16" s="4">
        <v>4</v>
      </c>
      <c r="K16" s="2" t="str">
        <f t="shared" si="0"/>
        <v>resp-inc</v>
      </c>
      <c r="L16" s="4" t="s">
        <v>37</v>
      </c>
    </row>
    <row r="17" spans="1:12" x14ac:dyDescent="0.2">
      <c r="A17" s="2" t="s">
        <v>3</v>
      </c>
      <c r="B17" s="2" t="s">
        <v>151</v>
      </c>
      <c r="C17" s="2" t="s">
        <v>9</v>
      </c>
      <c r="D17" s="2" t="s">
        <v>821</v>
      </c>
      <c r="E17" s="2">
        <v>4</v>
      </c>
      <c r="F17" s="3">
        <v>1</v>
      </c>
      <c r="G17" s="2">
        <v>16</v>
      </c>
      <c r="H17" s="8">
        <v>3</v>
      </c>
      <c r="J17" s="4">
        <v>2</v>
      </c>
      <c r="K17" s="2" t="str">
        <f t="shared" si="0"/>
        <v>resp-inc</v>
      </c>
      <c r="L17" s="2" t="s">
        <v>37</v>
      </c>
    </row>
    <row r="18" spans="1:12" x14ac:dyDescent="0.2">
      <c r="A18" s="2" t="s">
        <v>3</v>
      </c>
      <c r="B18" s="2" t="s">
        <v>151</v>
      </c>
      <c r="C18" s="2" t="s">
        <v>9</v>
      </c>
      <c r="D18" s="2" t="s">
        <v>822</v>
      </c>
      <c r="E18" s="2">
        <v>4</v>
      </c>
      <c r="F18" s="3">
        <v>2</v>
      </c>
      <c r="G18" s="2">
        <v>17</v>
      </c>
      <c r="H18" s="8">
        <v>4</v>
      </c>
      <c r="J18" s="4">
        <v>1</v>
      </c>
      <c r="K18" s="2" t="str">
        <f t="shared" si="0"/>
        <v>resp-inc</v>
      </c>
      <c r="L18" s="2" t="s">
        <v>37</v>
      </c>
    </row>
    <row r="19" spans="1:12" x14ac:dyDescent="0.2">
      <c r="A19" s="2" t="s">
        <v>3</v>
      </c>
      <c r="B19" s="2" t="s">
        <v>151</v>
      </c>
      <c r="C19" s="2" t="s">
        <v>9</v>
      </c>
      <c r="D19" s="2" t="s">
        <v>823</v>
      </c>
      <c r="E19" s="2">
        <v>4</v>
      </c>
      <c r="F19" s="3">
        <v>3</v>
      </c>
      <c r="G19" s="2">
        <v>18</v>
      </c>
      <c r="H19" s="8">
        <v>4</v>
      </c>
      <c r="J19" s="4">
        <v>1</v>
      </c>
      <c r="K19" s="2" t="str">
        <f t="shared" si="0"/>
        <v>resp-inc</v>
      </c>
      <c r="L19" s="2" t="s">
        <v>37</v>
      </c>
    </row>
    <row r="20" spans="1:12" x14ac:dyDescent="0.2">
      <c r="A20" s="2" t="s">
        <v>3</v>
      </c>
      <c r="B20" s="2" t="s">
        <v>151</v>
      </c>
      <c r="C20" s="2" t="s">
        <v>9</v>
      </c>
      <c r="D20" s="2" t="s">
        <v>824</v>
      </c>
      <c r="E20" s="2">
        <v>4</v>
      </c>
      <c r="F20" s="3">
        <v>4</v>
      </c>
      <c r="G20" s="2">
        <v>19</v>
      </c>
      <c r="H20" s="8">
        <v>4</v>
      </c>
      <c r="J20" s="4">
        <v>2</v>
      </c>
      <c r="K20" s="2" t="str">
        <f t="shared" si="0"/>
        <v>resp-inc</v>
      </c>
      <c r="L20" s="2" t="s">
        <v>37</v>
      </c>
    </row>
    <row r="21" spans="1:12" x14ac:dyDescent="0.2">
      <c r="A21" s="2" t="s">
        <v>3</v>
      </c>
      <c r="B21" s="2" t="s">
        <v>151</v>
      </c>
      <c r="C21" s="2" t="s">
        <v>10</v>
      </c>
      <c r="D21" s="2" t="s">
        <v>825</v>
      </c>
      <c r="E21" s="2">
        <v>5</v>
      </c>
      <c r="F21" s="3">
        <v>1</v>
      </c>
      <c r="G21" s="2">
        <v>20</v>
      </c>
      <c r="H21" s="8">
        <v>4</v>
      </c>
      <c r="J21" s="4">
        <v>4</v>
      </c>
      <c r="K21" s="2" t="str">
        <f t="shared" si="0"/>
        <v>resp-correct</v>
      </c>
      <c r="L21" s="2" t="s">
        <v>36</v>
      </c>
    </row>
    <row r="22" spans="1:12" x14ac:dyDescent="0.2">
      <c r="A22" s="2" t="s">
        <v>3</v>
      </c>
      <c r="B22" s="2" t="s">
        <v>151</v>
      </c>
      <c r="C22" s="2" t="s">
        <v>10</v>
      </c>
      <c r="D22" s="2" t="s">
        <v>826</v>
      </c>
      <c r="E22" s="2">
        <v>5</v>
      </c>
      <c r="F22" s="3">
        <v>2</v>
      </c>
      <c r="G22" s="2">
        <v>21</v>
      </c>
      <c r="H22" s="8">
        <v>4</v>
      </c>
      <c r="J22" s="4">
        <v>4</v>
      </c>
      <c r="K22" s="2" t="str">
        <f t="shared" si="0"/>
        <v>resp-correct</v>
      </c>
      <c r="L22" s="2" t="s">
        <v>36</v>
      </c>
    </row>
    <row r="23" spans="1:12" x14ac:dyDescent="0.2">
      <c r="A23" s="2" t="s">
        <v>3</v>
      </c>
      <c r="B23" s="2" t="s">
        <v>151</v>
      </c>
      <c r="C23" s="2" t="s">
        <v>10</v>
      </c>
      <c r="D23" s="2" t="s">
        <v>827</v>
      </c>
      <c r="E23" s="2">
        <v>5</v>
      </c>
      <c r="F23" s="3">
        <v>3</v>
      </c>
      <c r="G23" s="2">
        <v>22</v>
      </c>
      <c r="H23" s="8">
        <v>1</v>
      </c>
      <c r="J23" s="4">
        <v>4</v>
      </c>
      <c r="K23" s="2" t="str">
        <f t="shared" si="0"/>
        <v>resp-inc</v>
      </c>
      <c r="L23" s="2" t="s">
        <v>36</v>
      </c>
    </row>
    <row r="24" spans="1:12" x14ac:dyDescent="0.2">
      <c r="A24" s="2" t="s">
        <v>3</v>
      </c>
      <c r="B24" s="2" t="s">
        <v>151</v>
      </c>
      <c r="C24" s="2" t="s">
        <v>10</v>
      </c>
      <c r="D24" s="2" t="s">
        <v>828</v>
      </c>
      <c r="E24" s="2">
        <v>5</v>
      </c>
      <c r="F24" s="3">
        <v>4</v>
      </c>
      <c r="G24" s="2">
        <v>23</v>
      </c>
      <c r="H24" s="8">
        <v>1</v>
      </c>
      <c r="J24" s="4">
        <v>2</v>
      </c>
      <c r="K24" s="2" t="str">
        <f t="shared" si="0"/>
        <v>resp-inc</v>
      </c>
      <c r="L24" s="2" t="s">
        <v>127</v>
      </c>
    </row>
    <row r="25" spans="1:12" x14ac:dyDescent="0.2">
      <c r="A25" s="2" t="s">
        <v>3</v>
      </c>
      <c r="B25" s="2" t="s">
        <v>151</v>
      </c>
      <c r="C25" s="2" t="s">
        <v>10</v>
      </c>
      <c r="D25" s="2" t="s">
        <v>829</v>
      </c>
      <c r="E25" s="2">
        <v>5</v>
      </c>
      <c r="F25" s="3">
        <v>5</v>
      </c>
      <c r="G25" s="2">
        <v>24</v>
      </c>
      <c r="H25" s="8">
        <v>1</v>
      </c>
      <c r="J25" s="4">
        <v>2</v>
      </c>
      <c r="K25" s="2" t="str">
        <f t="shared" si="0"/>
        <v>resp-inc</v>
      </c>
      <c r="L25" s="2" t="s">
        <v>36</v>
      </c>
    </row>
    <row r="26" spans="1:12" x14ac:dyDescent="0.2">
      <c r="A26" s="2" t="s">
        <v>3</v>
      </c>
      <c r="B26" s="2" t="s">
        <v>151</v>
      </c>
      <c r="C26" s="2" t="s">
        <v>10</v>
      </c>
      <c r="D26" s="2" t="s">
        <v>830</v>
      </c>
      <c r="E26" s="2">
        <v>5</v>
      </c>
      <c r="F26" s="3">
        <v>6</v>
      </c>
      <c r="G26" s="2">
        <v>25</v>
      </c>
      <c r="H26" s="8">
        <v>1</v>
      </c>
      <c r="J26" s="4">
        <v>4</v>
      </c>
      <c r="K26" s="2" t="str">
        <f t="shared" si="0"/>
        <v>resp-inc</v>
      </c>
      <c r="L26" s="2" t="s">
        <v>36</v>
      </c>
    </row>
    <row r="27" spans="1:12" x14ac:dyDescent="0.2">
      <c r="A27" s="2" t="s">
        <v>3</v>
      </c>
      <c r="B27" s="2" t="s">
        <v>151</v>
      </c>
      <c r="C27" s="2" t="s">
        <v>6</v>
      </c>
      <c r="D27" s="2" t="s">
        <v>831</v>
      </c>
      <c r="E27" s="2">
        <v>6</v>
      </c>
      <c r="F27" s="3">
        <v>1</v>
      </c>
      <c r="G27" s="2">
        <v>26</v>
      </c>
      <c r="H27" s="8">
        <v>2</v>
      </c>
      <c r="J27" s="4">
        <v>4</v>
      </c>
      <c r="K27" s="2" t="str">
        <f t="shared" si="0"/>
        <v>resp-inc</v>
      </c>
      <c r="L27" s="2" t="s">
        <v>30</v>
      </c>
    </row>
    <row r="28" spans="1:12" x14ac:dyDescent="0.2">
      <c r="A28" s="2" t="s">
        <v>3</v>
      </c>
      <c r="B28" s="2" t="s">
        <v>151</v>
      </c>
      <c r="C28" s="2" t="s">
        <v>6</v>
      </c>
      <c r="D28" s="2" t="s">
        <v>832</v>
      </c>
      <c r="E28" s="2">
        <v>6</v>
      </c>
      <c r="F28" s="3">
        <v>2</v>
      </c>
      <c r="G28" s="2">
        <v>27</v>
      </c>
      <c r="H28" s="8">
        <v>2</v>
      </c>
      <c r="J28" s="4">
        <v>2</v>
      </c>
      <c r="K28" s="2" t="str">
        <f t="shared" si="0"/>
        <v>resp-correct</v>
      </c>
      <c r="L28" s="2" t="s">
        <v>127</v>
      </c>
    </row>
    <row r="29" spans="1:12" x14ac:dyDescent="0.2">
      <c r="A29" s="2" t="s">
        <v>3</v>
      </c>
      <c r="B29" s="2" t="s">
        <v>151</v>
      </c>
      <c r="C29" s="2" t="s">
        <v>6</v>
      </c>
      <c r="D29" s="2" t="s">
        <v>833</v>
      </c>
      <c r="E29" s="2">
        <v>6</v>
      </c>
      <c r="F29" s="3">
        <v>3</v>
      </c>
      <c r="G29" s="2">
        <v>28</v>
      </c>
      <c r="H29" s="8">
        <v>2</v>
      </c>
      <c r="J29" s="4">
        <v>4</v>
      </c>
      <c r="K29" s="2" t="str">
        <f t="shared" si="0"/>
        <v>resp-inc</v>
      </c>
      <c r="L29" s="2" t="s">
        <v>36</v>
      </c>
    </row>
    <row r="30" spans="1:12" x14ac:dyDescent="0.2">
      <c r="A30" s="2" t="s">
        <v>3</v>
      </c>
      <c r="B30" s="2" t="s">
        <v>151</v>
      </c>
      <c r="C30" s="2" t="s">
        <v>6</v>
      </c>
      <c r="D30" s="2" t="s">
        <v>834</v>
      </c>
      <c r="E30" s="2">
        <v>6</v>
      </c>
      <c r="F30" s="3">
        <v>4</v>
      </c>
      <c r="G30" s="2">
        <v>29</v>
      </c>
      <c r="H30" s="8">
        <v>2</v>
      </c>
      <c r="J30" s="4">
        <v>1</v>
      </c>
      <c r="K30" s="2" t="str">
        <f t="shared" si="0"/>
        <v>resp-inc</v>
      </c>
      <c r="L30" s="2" t="s">
        <v>135</v>
      </c>
    </row>
    <row r="31" spans="1:12" x14ac:dyDescent="0.2">
      <c r="A31" s="2" t="s">
        <v>3</v>
      </c>
      <c r="B31" s="2" t="s">
        <v>151</v>
      </c>
      <c r="C31" s="2" t="s">
        <v>11</v>
      </c>
      <c r="D31" s="2" t="s">
        <v>835</v>
      </c>
      <c r="E31" s="2">
        <v>7</v>
      </c>
      <c r="F31" s="3">
        <v>1</v>
      </c>
      <c r="G31" s="2">
        <v>30</v>
      </c>
      <c r="H31" s="8">
        <v>2</v>
      </c>
      <c r="J31" s="4">
        <v>3</v>
      </c>
      <c r="K31" s="2" t="str">
        <f t="shared" si="0"/>
        <v>resp-inc</v>
      </c>
      <c r="L31" s="2" t="s">
        <v>32</v>
      </c>
    </row>
    <row r="32" spans="1:12" x14ac:dyDescent="0.2">
      <c r="A32" s="2" t="s">
        <v>3</v>
      </c>
      <c r="B32" s="2" t="s">
        <v>151</v>
      </c>
      <c r="C32" s="2" t="s">
        <v>11</v>
      </c>
      <c r="D32" s="2" t="s">
        <v>836</v>
      </c>
      <c r="E32" s="2">
        <v>7</v>
      </c>
      <c r="F32" s="3">
        <v>2</v>
      </c>
      <c r="G32" s="2">
        <v>31</v>
      </c>
      <c r="H32" s="8">
        <v>1</v>
      </c>
      <c r="J32" s="4">
        <v>2</v>
      </c>
      <c r="K32" s="2" t="str">
        <f t="shared" si="0"/>
        <v>resp-inc</v>
      </c>
      <c r="L32" s="2" t="s">
        <v>32</v>
      </c>
    </row>
    <row r="33" spans="1:12" x14ac:dyDescent="0.2">
      <c r="A33" s="2" t="s">
        <v>3</v>
      </c>
      <c r="B33" s="2" t="s">
        <v>151</v>
      </c>
      <c r="C33" s="2" t="s">
        <v>11</v>
      </c>
      <c r="D33" s="2" t="s">
        <v>837</v>
      </c>
      <c r="E33" s="2">
        <v>7</v>
      </c>
      <c r="F33" s="3">
        <v>3</v>
      </c>
      <c r="G33" s="2">
        <v>32</v>
      </c>
      <c r="H33" s="8">
        <v>2</v>
      </c>
      <c r="J33" s="4">
        <v>4</v>
      </c>
      <c r="K33" s="2" t="str">
        <f t="shared" si="0"/>
        <v>resp-inc</v>
      </c>
      <c r="L33" s="2" t="s">
        <v>32</v>
      </c>
    </row>
    <row r="34" spans="1:12" x14ac:dyDescent="0.2">
      <c r="A34" s="2" t="s">
        <v>3</v>
      </c>
      <c r="B34" s="2" t="s">
        <v>151</v>
      </c>
      <c r="C34" s="2" t="s">
        <v>11</v>
      </c>
      <c r="D34" s="2" t="s">
        <v>838</v>
      </c>
      <c r="E34" s="2">
        <v>7</v>
      </c>
      <c r="F34" s="3">
        <v>4</v>
      </c>
      <c r="G34" s="2">
        <v>33</v>
      </c>
      <c r="H34" s="8">
        <v>1</v>
      </c>
      <c r="J34" s="4">
        <v>3</v>
      </c>
      <c r="K34" s="2" t="str">
        <f t="shared" si="0"/>
        <v>resp-inc</v>
      </c>
      <c r="L34" s="2" t="s">
        <v>32</v>
      </c>
    </row>
    <row r="35" spans="1:12" x14ac:dyDescent="0.2">
      <c r="A35" s="2" t="s">
        <v>3</v>
      </c>
      <c r="B35" s="2" t="s">
        <v>151</v>
      </c>
      <c r="C35" s="2" t="s">
        <v>11</v>
      </c>
      <c r="D35" s="2" t="s">
        <v>839</v>
      </c>
      <c r="E35" s="2">
        <v>7</v>
      </c>
      <c r="F35" s="3">
        <v>5</v>
      </c>
      <c r="G35" s="2">
        <v>34</v>
      </c>
      <c r="H35" s="8">
        <v>1</v>
      </c>
      <c r="J35" s="4">
        <v>3</v>
      </c>
      <c r="K35" s="2" t="str">
        <f t="shared" si="0"/>
        <v>resp-inc</v>
      </c>
      <c r="L35" s="2" t="s">
        <v>32</v>
      </c>
    </row>
    <row r="36" spans="1:12" x14ac:dyDescent="0.2">
      <c r="A36" s="2" t="s">
        <v>3</v>
      </c>
      <c r="B36" s="2" t="s">
        <v>151</v>
      </c>
      <c r="C36" s="2" t="s">
        <v>11</v>
      </c>
      <c r="D36" s="2" t="s">
        <v>840</v>
      </c>
      <c r="E36" s="2">
        <v>7</v>
      </c>
      <c r="F36" s="3">
        <v>6</v>
      </c>
      <c r="G36" s="2">
        <v>35</v>
      </c>
      <c r="H36" s="8">
        <v>2</v>
      </c>
      <c r="J36" s="4">
        <v>4</v>
      </c>
      <c r="K36" s="2" t="str">
        <f t="shared" si="0"/>
        <v>resp-inc</v>
      </c>
      <c r="L36" s="2" t="s">
        <v>32</v>
      </c>
    </row>
    <row r="37" spans="1:12" x14ac:dyDescent="0.2">
      <c r="A37" s="2" t="s">
        <v>3</v>
      </c>
      <c r="B37" s="2" t="s">
        <v>151</v>
      </c>
      <c r="C37" s="2" t="s">
        <v>12</v>
      </c>
      <c r="D37" s="2" t="s">
        <v>841</v>
      </c>
      <c r="E37" s="2">
        <v>8</v>
      </c>
      <c r="F37" s="3">
        <v>1</v>
      </c>
      <c r="G37" s="2">
        <v>36</v>
      </c>
      <c r="H37" s="8">
        <v>2</v>
      </c>
      <c r="J37" s="4">
        <v>4</v>
      </c>
      <c r="K37" s="2" t="str">
        <f t="shared" si="0"/>
        <v>resp-inc</v>
      </c>
      <c r="L37" s="2" t="s">
        <v>35</v>
      </c>
    </row>
    <row r="38" spans="1:12" x14ac:dyDescent="0.2">
      <c r="A38" s="2" t="s">
        <v>3</v>
      </c>
      <c r="B38" s="2" t="s">
        <v>151</v>
      </c>
      <c r="C38" s="2" t="s">
        <v>12</v>
      </c>
      <c r="D38" s="2" t="s">
        <v>842</v>
      </c>
      <c r="E38" s="2">
        <v>8</v>
      </c>
      <c r="F38" s="3">
        <v>2</v>
      </c>
      <c r="G38" s="2">
        <v>37</v>
      </c>
      <c r="H38" s="8">
        <v>2</v>
      </c>
      <c r="J38" s="4">
        <v>1</v>
      </c>
      <c r="K38" s="2" t="str">
        <f t="shared" si="0"/>
        <v>resp-inc</v>
      </c>
      <c r="L38" s="2" t="s">
        <v>133</v>
      </c>
    </row>
    <row r="39" spans="1:12" x14ac:dyDescent="0.2">
      <c r="A39" s="2" t="s">
        <v>3</v>
      </c>
      <c r="B39" s="2" t="s">
        <v>151</v>
      </c>
      <c r="C39" s="2" t="s">
        <v>12</v>
      </c>
      <c r="D39" s="2" t="s">
        <v>843</v>
      </c>
      <c r="E39" s="2">
        <v>8</v>
      </c>
      <c r="F39" s="3">
        <v>3</v>
      </c>
      <c r="G39" s="2">
        <v>38</v>
      </c>
      <c r="H39" s="8">
        <v>2</v>
      </c>
      <c r="J39" s="4">
        <v>2</v>
      </c>
      <c r="K39" s="2" t="str">
        <f t="shared" si="0"/>
        <v>resp-correct</v>
      </c>
      <c r="L39" s="2" t="s">
        <v>35</v>
      </c>
    </row>
    <row r="40" spans="1:12" x14ac:dyDescent="0.2">
      <c r="A40" s="2" t="s">
        <v>3</v>
      </c>
      <c r="B40" s="2" t="s">
        <v>151</v>
      </c>
      <c r="C40" s="2" t="s">
        <v>12</v>
      </c>
      <c r="D40" s="2" t="s">
        <v>844</v>
      </c>
      <c r="E40" s="2">
        <v>8</v>
      </c>
      <c r="F40" s="3">
        <v>4</v>
      </c>
      <c r="G40" s="2">
        <v>39</v>
      </c>
      <c r="H40" s="8">
        <v>2</v>
      </c>
      <c r="J40" s="4">
        <v>3</v>
      </c>
      <c r="K40" s="2" t="str">
        <f t="shared" si="0"/>
        <v>resp-inc</v>
      </c>
      <c r="L40" s="2" t="s">
        <v>29</v>
      </c>
    </row>
    <row r="41" spans="1:12" x14ac:dyDescent="0.2">
      <c r="A41" s="2" t="s">
        <v>3</v>
      </c>
      <c r="B41" s="2" t="s">
        <v>151</v>
      </c>
      <c r="C41" s="2" t="s">
        <v>12</v>
      </c>
      <c r="D41" s="2" t="s">
        <v>845</v>
      </c>
      <c r="E41" s="2">
        <v>8</v>
      </c>
      <c r="F41" s="3">
        <v>5</v>
      </c>
      <c r="G41" s="2">
        <v>40</v>
      </c>
      <c r="H41" s="8">
        <v>2</v>
      </c>
      <c r="J41" s="4">
        <v>3</v>
      </c>
      <c r="K41" s="2" t="str">
        <f t="shared" si="0"/>
        <v>resp-inc</v>
      </c>
      <c r="L41" s="2" t="s">
        <v>29</v>
      </c>
    </row>
    <row r="42" spans="1:12" x14ac:dyDescent="0.2">
      <c r="A42" s="2" t="s">
        <v>3</v>
      </c>
      <c r="B42" s="2" t="s">
        <v>151</v>
      </c>
      <c r="C42" s="2" t="s">
        <v>12</v>
      </c>
      <c r="D42" s="2" t="s">
        <v>846</v>
      </c>
      <c r="E42" s="2">
        <v>8</v>
      </c>
      <c r="F42" s="3">
        <v>6</v>
      </c>
      <c r="G42" s="2">
        <v>41</v>
      </c>
      <c r="H42" s="8">
        <v>2</v>
      </c>
      <c r="J42" s="4">
        <v>4</v>
      </c>
      <c r="K42" s="2" t="str">
        <f t="shared" si="0"/>
        <v>resp-inc</v>
      </c>
      <c r="L42" s="2" t="s">
        <v>52</v>
      </c>
    </row>
    <row r="43" spans="1:12" x14ac:dyDescent="0.2">
      <c r="A43" s="2" t="s">
        <v>3</v>
      </c>
      <c r="B43" s="2" t="s">
        <v>151</v>
      </c>
      <c r="C43" s="2" t="s">
        <v>91</v>
      </c>
      <c r="D43" s="2" t="s">
        <v>847</v>
      </c>
      <c r="E43" s="2">
        <v>9</v>
      </c>
      <c r="F43" s="3">
        <v>1</v>
      </c>
      <c r="G43" s="2">
        <v>42</v>
      </c>
      <c r="H43" s="8">
        <v>2</v>
      </c>
      <c r="J43" s="4">
        <v>1</v>
      </c>
      <c r="K43" s="2" t="str">
        <f t="shared" si="0"/>
        <v>resp-inc</v>
      </c>
      <c r="L43" s="2" t="s">
        <v>31</v>
      </c>
    </row>
    <row r="44" spans="1:12" x14ac:dyDescent="0.2">
      <c r="A44" s="2" t="s">
        <v>3</v>
      </c>
      <c r="B44" s="2" t="s">
        <v>151</v>
      </c>
      <c r="C44" s="2" t="s">
        <v>91</v>
      </c>
      <c r="D44" s="2" t="s">
        <v>848</v>
      </c>
      <c r="E44" s="2">
        <v>9</v>
      </c>
      <c r="F44" s="3">
        <v>2</v>
      </c>
      <c r="G44" s="2">
        <v>43</v>
      </c>
      <c r="H44" s="8">
        <v>2</v>
      </c>
      <c r="J44" s="4">
        <v>2</v>
      </c>
      <c r="K44" s="2" t="str">
        <f t="shared" si="0"/>
        <v>resp-correct</v>
      </c>
      <c r="L44" s="2" t="s">
        <v>31</v>
      </c>
    </row>
    <row r="45" spans="1:12" x14ac:dyDescent="0.2">
      <c r="A45" s="2" t="s">
        <v>3</v>
      </c>
      <c r="B45" s="2" t="s">
        <v>151</v>
      </c>
      <c r="C45" s="2" t="s">
        <v>91</v>
      </c>
      <c r="D45" s="2" t="s">
        <v>849</v>
      </c>
      <c r="E45" s="2">
        <v>9</v>
      </c>
      <c r="F45" s="3">
        <v>3</v>
      </c>
      <c r="G45" s="2">
        <v>44</v>
      </c>
      <c r="H45" s="8">
        <v>2</v>
      </c>
      <c r="J45" s="4">
        <v>4</v>
      </c>
      <c r="K45" s="2" t="str">
        <f t="shared" si="0"/>
        <v>resp-inc</v>
      </c>
      <c r="L45" s="2" t="s">
        <v>31</v>
      </c>
    </row>
    <row r="46" spans="1:12" x14ac:dyDescent="0.2">
      <c r="A46" s="2" t="s">
        <v>3</v>
      </c>
      <c r="B46" s="2" t="s">
        <v>151</v>
      </c>
      <c r="C46" s="2" t="s">
        <v>91</v>
      </c>
      <c r="D46" s="2" t="s">
        <v>850</v>
      </c>
      <c r="E46" s="2">
        <v>9</v>
      </c>
      <c r="F46" s="3">
        <v>4</v>
      </c>
      <c r="G46" s="2">
        <v>45</v>
      </c>
      <c r="H46" s="8">
        <v>2</v>
      </c>
      <c r="J46" s="4">
        <v>4</v>
      </c>
      <c r="K46" s="2" t="str">
        <f t="shared" si="0"/>
        <v>resp-inc</v>
      </c>
      <c r="L46" s="2" t="s">
        <v>31</v>
      </c>
    </row>
    <row r="47" spans="1:12" x14ac:dyDescent="0.2">
      <c r="A47" s="2" t="s">
        <v>3</v>
      </c>
      <c r="B47" s="2" t="s">
        <v>151</v>
      </c>
      <c r="C47" s="2" t="s">
        <v>91</v>
      </c>
      <c r="D47" s="2" t="s">
        <v>851</v>
      </c>
      <c r="E47" s="2">
        <v>9</v>
      </c>
      <c r="F47" s="3">
        <v>5</v>
      </c>
      <c r="G47" s="2">
        <v>46</v>
      </c>
      <c r="H47" s="8">
        <v>2</v>
      </c>
      <c r="J47" s="4">
        <v>3</v>
      </c>
      <c r="K47" s="2" t="str">
        <f t="shared" si="0"/>
        <v>resp-inc</v>
      </c>
      <c r="L47" s="2" t="s">
        <v>31</v>
      </c>
    </row>
    <row r="48" spans="1:12" x14ac:dyDescent="0.2">
      <c r="A48" s="2" t="s">
        <v>3</v>
      </c>
      <c r="B48" s="2" t="s">
        <v>151</v>
      </c>
      <c r="C48" s="2" t="s">
        <v>91</v>
      </c>
      <c r="D48" s="2" t="s">
        <v>852</v>
      </c>
      <c r="E48" s="2">
        <v>9</v>
      </c>
      <c r="F48" s="3">
        <v>6</v>
      </c>
      <c r="G48" s="2">
        <v>47</v>
      </c>
      <c r="H48" s="8">
        <v>2</v>
      </c>
      <c r="J48" s="4">
        <v>3</v>
      </c>
      <c r="K48" s="2" t="str">
        <f t="shared" si="0"/>
        <v>resp-inc</v>
      </c>
      <c r="L48" s="2" t="s">
        <v>31</v>
      </c>
    </row>
    <row r="49" spans="1:12" x14ac:dyDescent="0.2">
      <c r="A49" s="2" t="s">
        <v>3</v>
      </c>
      <c r="B49" s="2" t="s">
        <v>151</v>
      </c>
      <c r="C49" s="2" t="s">
        <v>6</v>
      </c>
      <c r="D49" s="2" t="s">
        <v>853</v>
      </c>
      <c r="E49" s="2">
        <v>10</v>
      </c>
      <c r="F49" s="3">
        <v>1</v>
      </c>
      <c r="G49" s="2">
        <v>48</v>
      </c>
      <c r="H49" s="8">
        <v>2</v>
      </c>
      <c r="J49" s="4">
        <v>3</v>
      </c>
      <c r="K49" s="2" t="str">
        <f t="shared" si="0"/>
        <v>resp-inc</v>
      </c>
      <c r="L49" s="2" t="s">
        <v>129</v>
      </c>
    </row>
    <row r="50" spans="1:12" x14ac:dyDescent="0.2">
      <c r="A50" s="2" t="s">
        <v>3</v>
      </c>
      <c r="B50" s="2" t="s">
        <v>151</v>
      </c>
      <c r="C50" s="2" t="s">
        <v>6</v>
      </c>
      <c r="D50" s="2" t="s">
        <v>854</v>
      </c>
      <c r="E50" s="2">
        <v>10</v>
      </c>
      <c r="F50" s="3">
        <v>2</v>
      </c>
      <c r="G50" s="2">
        <v>49</v>
      </c>
      <c r="H50" s="8">
        <v>2</v>
      </c>
      <c r="J50" s="4">
        <v>3</v>
      </c>
      <c r="K50" s="2" t="str">
        <f t="shared" si="0"/>
        <v>resp-inc</v>
      </c>
      <c r="L50" s="2" t="s">
        <v>38</v>
      </c>
    </row>
    <row r="51" spans="1:12" x14ac:dyDescent="0.2">
      <c r="A51" s="2" t="s">
        <v>3</v>
      </c>
      <c r="B51" s="2" t="s">
        <v>151</v>
      </c>
      <c r="C51" s="2" t="s">
        <v>6</v>
      </c>
      <c r="D51" s="2" t="s">
        <v>855</v>
      </c>
      <c r="E51" s="2">
        <v>10</v>
      </c>
      <c r="F51" s="3">
        <v>3</v>
      </c>
      <c r="G51" s="2">
        <v>50</v>
      </c>
      <c r="H51" s="8">
        <v>2</v>
      </c>
      <c r="J51" s="4">
        <v>2</v>
      </c>
      <c r="K51" s="2" t="str">
        <f t="shared" si="0"/>
        <v>resp-correct</v>
      </c>
      <c r="L51" s="2" t="s">
        <v>37</v>
      </c>
    </row>
    <row r="52" spans="1:12" x14ac:dyDescent="0.2">
      <c r="A52" s="2" t="s">
        <v>3</v>
      </c>
      <c r="B52" s="2" t="s">
        <v>151</v>
      </c>
      <c r="C52" s="2" t="s">
        <v>6</v>
      </c>
      <c r="D52" s="2" t="s">
        <v>856</v>
      </c>
      <c r="E52" s="2">
        <v>10</v>
      </c>
      <c r="F52" s="3">
        <v>4</v>
      </c>
      <c r="G52" s="2">
        <v>51</v>
      </c>
      <c r="H52" s="8">
        <v>2</v>
      </c>
      <c r="J52" s="4">
        <v>2</v>
      </c>
      <c r="K52" s="2" t="str">
        <f t="shared" si="0"/>
        <v>resp-correct</v>
      </c>
      <c r="L52" s="2" t="s">
        <v>149</v>
      </c>
    </row>
    <row r="53" spans="1:12" x14ac:dyDescent="0.2">
      <c r="A53" s="2" t="s">
        <v>3</v>
      </c>
      <c r="B53" s="2" t="s">
        <v>151</v>
      </c>
      <c r="C53" s="2" t="s">
        <v>6</v>
      </c>
      <c r="D53" s="2" t="s">
        <v>857</v>
      </c>
      <c r="E53" s="2">
        <v>10</v>
      </c>
      <c r="F53" s="3">
        <v>5</v>
      </c>
      <c r="G53" s="2">
        <v>52</v>
      </c>
      <c r="H53" s="8">
        <v>2</v>
      </c>
      <c r="J53" s="4">
        <v>3</v>
      </c>
      <c r="K53" s="2" t="str">
        <f t="shared" si="0"/>
        <v>resp-inc</v>
      </c>
      <c r="L53" s="2" t="s">
        <v>33</v>
      </c>
    </row>
    <row r="54" spans="1:12" x14ac:dyDescent="0.2">
      <c r="A54" s="2" t="s">
        <v>4</v>
      </c>
      <c r="B54" s="2" t="s">
        <v>152</v>
      </c>
      <c r="C54" s="2" t="s">
        <v>7</v>
      </c>
      <c r="D54" s="2" t="s">
        <v>858</v>
      </c>
      <c r="E54" s="2">
        <v>1</v>
      </c>
      <c r="F54" s="3">
        <v>1</v>
      </c>
      <c r="G54" s="2">
        <v>1</v>
      </c>
      <c r="H54" s="8">
        <v>2</v>
      </c>
      <c r="J54" s="4">
        <v>3</v>
      </c>
      <c r="K54" s="2" t="str">
        <f t="shared" si="0"/>
        <v>resp-inc</v>
      </c>
      <c r="L54" s="2" t="s">
        <v>43</v>
      </c>
    </row>
    <row r="55" spans="1:12" x14ac:dyDescent="0.2">
      <c r="A55" s="2" t="s">
        <v>4</v>
      </c>
      <c r="B55" s="2" t="s">
        <v>152</v>
      </c>
      <c r="C55" s="2" t="s">
        <v>7</v>
      </c>
      <c r="D55" s="2" t="s">
        <v>859</v>
      </c>
      <c r="E55" s="2">
        <v>1</v>
      </c>
      <c r="F55" s="3">
        <v>2</v>
      </c>
      <c r="G55" s="2">
        <v>2</v>
      </c>
      <c r="H55" s="8">
        <v>3</v>
      </c>
      <c r="J55" s="4">
        <v>2</v>
      </c>
      <c r="K55" s="2" t="str">
        <f t="shared" si="0"/>
        <v>resp-inc</v>
      </c>
      <c r="L55" s="2" t="s">
        <v>43</v>
      </c>
    </row>
    <row r="56" spans="1:12" x14ac:dyDescent="0.2">
      <c r="A56" s="2" t="s">
        <v>4</v>
      </c>
      <c r="B56" s="2" t="s">
        <v>152</v>
      </c>
      <c r="C56" s="2" t="s">
        <v>7</v>
      </c>
      <c r="D56" s="2" t="s">
        <v>860</v>
      </c>
      <c r="E56" s="2">
        <v>1</v>
      </c>
      <c r="F56" s="3">
        <v>3</v>
      </c>
      <c r="G56" s="2">
        <v>3</v>
      </c>
      <c r="H56" s="8">
        <v>3</v>
      </c>
      <c r="J56" s="4">
        <v>4</v>
      </c>
      <c r="K56" s="2" t="str">
        <f t="shared" si="0"/>
        <v>resp-inc</v>
      </c>
      <c r="L56" s="2" t="s">
        <v>41</v>
      </c>
    </row>
    <row r="57" spans="1:12" x14ac:dyDescent="0.2">
      <c r="A57" s="2" t="s">
        <v>4</v>
      </c>
      <c r="B57" s="2" t="s">
        <v>152</v>
      </c>
      <c r="C57" s="2" t="s">
        <v>7</v>
      </c>
      <c r="D57" s="2" t="s">
        <v>861</v>
      </c>
      <c r="E57" s="2">
        <v>1</v>
      </c>
      <c r="F57" s="3">
        <v>4</v>
      </c>
      <c r="G57" s="2">
        <v>4</v>
      </c>
      <c r="H57" s="8">
        <v>3</v>
      </c>
      <c r="J57" s="4">
        <v>1</v>
      </c>
      <c r="K57" s="2" t="str">
        <f t="shared" si="0"/>
        <v>resp-inc</v>
      </c>
      <c r="L57" s="2" t="s">
        <v>43</v>
      </c>
    </row>
    <row r="58" spans="1:12" x14ac:dyDescent="0.2">
      <c r="A58" s="2" t="s">
        <v>4</v>
      </c>
      <c r="B58" s="2" t="s">
        <v>152</v>
      </c>
      <c r="C58" s="2" t="s">
        <v>7</v>
      </c>
      <c r="D58" s="2" t="s">
        <v>862</v>
      </c>
      <c r="E58" s="2">
        <v>1</v>
      </c>
      <c r="F58" s="3">
        <v>5</v>
      </c>
      <c r="G58" s="2">
        <v>5</v>
      </c>
      <c r="H58" s="8">
        <v>3</v>
      </c>
      <c r="J58" s="4">
        <v>4</v>
      </c>
      <c r="K58" s="2" t="str">
        <f t="shared" si="0"/>
        <v>resp-inc</v>
      </c>
      <c r="L58" s="2" t="s">
        <v>39</v>
      </c>
    </row>
    <row r="59" spans="1:12" x14ac:dyDescent="0.2">
      <c r="A59" s="2" t="s">
        <v>4</v>
      </c>
      <c r="B59" s="2" t="s">
        <v>152</v>
      </c>
      <c r="C59" s="2" t="s">
        <v>7</v>
      </c>
      <c r="D59" s="2" t="s">
        <v>863</v>
      </c>
      <c r="E59" s="2">
        <v>1</v>
      </c>
      <c r="F59" s="3">
        <v>6</v>
      </c>
      <c r="G59" s="2">
        <v>6</v>
      </c>
      <c r="H59" s="8">
        <v>3</v>
      </c>
      <c r="J59" s="4">
        <v>1</v>
      </c>
      <c r="K59" s="2" t="str">
        <f t="shared" si="0"/>
        <v>resp-inc</v>
      </c>
      <c r="L59" s="2" t="s">
        <v>42</v>
      </c>
    </row>
    <row r="60" spans="1:12" x14ac:dyDescent="0.2">
      <c r="A60" s="2" t="s">
        <v>4</v>
      </c>
      <c r="B60" s="2" t="s">
        <v>152</v>
      </c>
      <c r="C60" s="2" t="s">
        <v>8</v>
      </c>
      <c r="D60" s="2" t="s">
        <v>864</v>
      </c>
      <c r="E60" s="2">
        <v>2</v>
      </c>
      <c r="F60" s="3">
        <v>1</v>
      </c>
      <c r="G60" s="2">
        <v>7</v>
      </c>
      <c r="H60" s="8">
        <v>3</v>
      </c>
      <c r="J60" s="4">
        <v>1</v>
      </c>
      <c r="K60" s="2" t="str">
        <f t="shared" si="0"/>
        <v>resp-inc</v>
      </c>
      <c r="L60" s="2" t="s">
        <v>41</v>
      </c>
    </row>
    <row r="61" spans="1:12" x14ac:dyDescent="0.2">
      <c r="A61" s="2" t="s">
        <v>4</v>
      </c>
      <c r="B61" s="2" t="s">
        <v>152</v>
      </c>
      <c r="C61" s="2" t="s">
        <v>8</v>
      </c>
      <c r="D61" s="2" t="s">
        <v>865</v>
      </c>
      <c r="E61" s="2">
        <v>2</v>
      </c>
      <c r="F61" s="3">
        <v>2</v>
      </c>
      <c r="G61" s="2">
        <v>8</v>
      </c>
      <c r="H61" s="8">
        <v>4</v>
      </c>
      <c r="J61" s="4">
        <v>2</v>
      </c>
      <c r="K61" s="2" t="str">
        <f t="shared" si="0"/>
        <v>resp-inc</v>
      </c>
      <c r="L61" s="2" t="s">
        <v>39</v>
      </c>
    </row>
    <row r="62" spans="1:12" x14ac:dyDescent="0.2">
      <c r="A62" s="2" t="s">
        <v>4</v>
      </c>
      <c r="B62" s="2" t="s">
        <v>152</v>
      </c>
      <c r="C62" s="2" t="s">
        <v>8</v>
      </c>
      <c r="D62" s="2" t="s">
        <v>866</v>
      </c>
      <c r="E62" s="2">
        <v>2</v>
      </c>
      <c r="F62" s="3">
        <v>3</v>
      </c>
      <c r="G62" s="2">
        <v>9</v>
      </c>
      <c r="H62" s="8">
        <v>4</v>
      </c>
      <c r="J62" s="4">
        <v>4</v>
      </c>
      <c r="K62" s="2" t="str">
        <f t="shared" si="0"/>
        <v>resp-correct</v>
      </c>
      <c r="L62" s="2" t="s">
        <v>43</v>
      </c>
    </row>
    <row r="63" spans="1:12" x14ac:dyDescent="0.2">
      <c r="A63" s="2" t="s">
        <v>4</v>
      </c>
      <c r="B63" s="2" t="s">
        <v>152</v>
      </c>
      <c r="C63" s="2" t="s">
        <v>8</v>
      </c>
      <c r="D63" s="2" t="s">
        <v>867</v>
      </c>
      <c r="E63" s="2">
        <v>2</v>
      </c>
      <c r="F63" s="3">
        <v>4</v>
      </c>
      <c r="G63" s="2">
        <v>10</v>
      </c>
      <c r="H63" s="8">
        <v>4</v>
      </c>
      <c r="J63" s="4">
        <v>3</v>
      </c>
      <c r="K63" s="2" t="str">
        <f t="shared" si="0"/>
        <v>resp-inc</v>
      </c>
      <c r="L63" s="2" t="s">
        <v>43</v>
      </c>
    </row>
    <row r="64" spans="1:12" x14ac:dyDescent="0.2">
      <c r="A64" s="2" t="s">
        <v>4</v>
      </c>
      <c r="B64" s="2" t="s">
        <v>152</v>
      </c>
      <c r="C64" s="2" t="s">
        <v>8</v>
      </c>
      <c r="D64" s="2" t="s">
        <v>868</v>
      </c>
      <c r="E64" s="2">
        <v>2</v>
      </c>
      <c r="F64" s="3">
        <v>5</v>
      </c>
      <c r="G64" s="2">
        <v>11</v>
      </c>
      <c r="H64" s="8">
        <v>4</v>
      </c>
      <c r="J64" s="4">
        <v>3</v>
      </c>
      <c r="K64" s="2" t="str">
        <f t="shared" si="0"/>
        <v>resp-inc</v>
      </c>
      <c r="L64" s="4" t="s">
        <v>39</v>
      </c>
    </row>
    <row r="65" spans="1:12" x14ac:dyDescent="0.2">
      <c r="A65" s="2" t="s">
        <v>4</v>
      </c>
      <c r="B65" s="2" t="s">
        <v>152</v>
      </c>
      <c r="C65" s="2" t="s">
        <v>8</v>
      </c>
      <c r="D65" s="2" t="s">
        <v>869</v>
      </c>
      <c r="E65" s="2">
        <v>2</v>
      </c>
      <c r="F65" s="3">
        <v>6</v>
      </c>
      <c r="G65" s="2">
        <v>12</v>
      </c>
      <c r="H65" s="8">
        <v>4</v>
      </c>
      <c r="J65" s="4">
        <v>2</v>
      </c>
      <c r="K65" s="2" t="str">
        <f t="shared" si="0"/>
        <v>resp-inc</v>
      </c>
      <c r="L65" s="2" t="s">
        <v>43</v>
      </c>
    </row>
    <row r="66" spans="1:12" x14ac:dyDescent="0.2">
      <c r="A66" s="2" t="s">
        <v>4</v>
      </c>
      <c r="B66" s="2" t="s">
        <v>152</v>
      </c>
      <c r="C66" s="2" t="s">
        <v>9</v>
      </c>
      <c r="D66" s="2" t="s">
        <v>870</v>
      </c>
      <c r="E66" s="2">
        <v>3</v>
      </c>
      <c r="F66" s="3">
        <v>1</v>
      </c>
      <c r="G66" s="2">
        <v>13</v>
      </c>
      <c r="H66" s="8">
        <v>1</v>
      </c>
      <c r="J66" s="4">
        <v>2</v>
      </c>
      <c r="K66" s="2" t="str">
        <f t="shared" si="0"/>
        <v>resp-inc</v>
      </c>
      <c r="L66" s="2" t="s">
        <v>39</v>
      </c>
    </row>
    <row r="67" spans="1:12" x14ac:dyDescent="0.2">
      <c r="A67" s="2" t="s">
        <v>4</v>
      </c>
      <c r="B67" s="2" t="s">
        <v>152</v>
      </c>
      <c r="C67" s="2" t="s">
        <v>9</v>
      </c>
      <c r="D67" s="2" t="s">
        <v>871</v>
      </c>
      <c r="E67" s="2">
        <v>3</v>
      </c>
      <c r="F67" s="3">
        <v>2</v>
      </c>
      <c r="G67" s="2">
        <v>14</v>
      </c>
      <c r="H67" s="8">
        <v>1</v>
      </c>
      <c r="J67" s="4">
        <v>1</v>
      </c>
      <c r="K67" s="2" t="str">
        <f t="shared" si="0"/>
        <v>resp-correct</v>
      </c>
      <c r="L67" s="2" t="s">
        <v>41</v>
      </c>
    </row>
    <row r="68" spans="1:12" x14ac:dyDescent="0.2">
      <c r="A68" s="2" t="s">
        <v>4</v>
      </c>
      <c r="B68" s="2" t="s">
        <v>152</v>
      </c>
      <c r="C68" s="2" t="s">
        <v>9</v>
      </c>
      <c r="D68" s="2" t="s">
        <v>872</v>
      </c>
      <c r="E68" s="2">
        <v>3</v>
      </c>
      <c r="F68" s="3">
        <v>3</v>
      </c>
      <c r="G68" s="2">
        <v>15</v>
      </c>
      <c r="H68" s="8">
        <v>1</v>
      </c>
      <c r="J68" s="4">
        <v>3</v>
      </c>
      <c r="K68" s="2" t="str">
        <f t="shared" si="0"/>
        <v>resp-inc</v>
      </c>
      <c r="L68" s="2" t="s">
        <v>43</v>
      </c>
    </row>
    <row r="69" spans="1:12" x14ac:dyDescent="0.2">
      <c r="A69" s="2" t="s">
        <v>4</v>
      </c>
      <c r="B69" s="2" t="s">
        <v>152</v>
      </c>
      <c r="C69" s="17" t="s">
        <v>9</v>
      </c>
      <c r="D69" s="2" t="s">
        <v>873</v>
      </c>
      <c r="E69" s="2">
        <v>3</v>
      </c>
      <c r="F69" s="3">
        <v>4</v>
      </c>
      <c r="G69" s="2">
        <v>16</v>
      </c>
      <c r="H69" s="8">
        <v>1</v>
      </c>
      <c r="J69" s="4">
        <v>4</v>
      </c>
      <c r="K69" s="2" t="str">
        <f t="shared" si="0"/>
        <v>resp-inc</v>
      </c>
      <c r="L69" s="2" t="s">
        <v>40</v>
      </c>
    </row>
    <row r="70" spans="1:12" x14ac:dyDescent="0.2">
      <c r="A70" s="2" t="s">
        <v>4</v>
      </c>
      <c r="B70" s="2" t="s">
        <v>152</v>
      </c>
      <c r="C70" s="17" t="s">
        <v>9</v>
      </c>
      <c r="D70" s="2" t="s">
        <v>874</v>
      </c>
      <c r="E70" s="2">
        <v>3</v>
      </c>
      <c r="F70" s="3">
        <v>5</v>
      </c>
      <c r="G70" s="2">
        <v>17</v>
      </c>
      <c r="H70" s="8">
        <v>2</v>
      </c>
      <c r="J70" s="4">
        <v>4</v>
      </c>
      <c r="K70" s="2" t="str">
        <f t="shared" si="0"/>
        <v>resp-inc</v>
      </c>
      <c r="L70" s="2" t="s">
        <v>43</v>
      </c>
    </row>
    <row r="71" spans="1:12" x14ac:dyDescent="0.2">
      <c r="A71" s="2" t="s">
        <v>4</v>
      </c>
      <c r="B71" s="2" t="s">
        <v>152</v>
      </c>
      <c r="C71" s="17" t="s">
        <v>9</v>
      </c>
      <c r="D71" s="2" t="s">
        <v>875</v>
      </c>
      <c r="E71" s="2">
        <v>3</v>
      </c>
      <c r="F71" s="3">
        <v>6</v>
      </c>
      <c r="G71" s="2">
        <v>18</v>
      </c>
      <c r="H71" s="8">
        <v>2</v>
      </c>
      <c r="J71" s="4">
        <v>2</v>
      </c>
      <c r="K71" s="2" t="str">
        <f t="shared" si="0"/>
        <v>resp-correct</v>
      </c>
      <c r="L71" s="2" t="s">
        <v>43</v>
      </c>
    </row>
    <row r="72" spans="1:12" x14ac:dyDescent="0.2">
      <c r="A72" s="2" t="s">
        <v>4</v>
      </c>
      <c r="B72" s="2" t="s">
        <v>152</v>
      </c>
      <c r="C72" s="17" t="s">
        <v>9</v>
      </c>
      <c r="D72" s="2" t="s">
        <v>876</v>
      </c>
      <c r="E72" s="2">
        <v>3</v>
      </c>
      <c r="F72" s="3">
        <v>7</v>
      </c>
      <c r="G72" s="2">
        <v>19</v>
      </c>
      <c r="H72" s="8">
        <v>2</v>
      </c>
      <c r="J72" s="4">
        <v>4</v>
      </c>
      <c r="K72" s="2" t="str">
        <f t="shared" si="0"/>
        <v>resp-inc</v>
      </c>
      <c r="L72" s="4" t="s">
        <v>43</v>
      </c>
    </row>
    <row r="73" spans="1:12" x14ac:dyDescent="0.2">
      <c r="A73" s="2" t="s">
        <v>4</v>
      </c>
      <c r="B73" s="2" t="s">
        <v>152</v>
      </c>
      <c r="C73" s="17" t="s">
        <v>10</v>
      </c>
      <c r="D73" s="2" t="s">
        <v>877</v>
      </c>
      <c r="E73" s="2">
        <v>4</v>
      </c>
      <c r="F73" s="3">
        <v>1</v>
      </c>
      <c r="G73" s="2">
        <v>20</v>
      </c>
      <c r="H73" s="8">
        <v>2</v>
      </c>
      <c r="J73" s="4">
        <v>4</v>
      </c>
      <c r="K73" s="2" t="str">
        <f t="shared" si="0"/>
        <v>resp-inc</v>
      </c>
      <c r="L73" s="2" t="s">
        <v>41</v>
      </c>
    </row>
    <row r="74" spans="1:12" x14ac:dyDescent="0.2">
      <c r="A74" s="2" t="s">
        <v>4</v>
      </c>
      <c r="B74" s="2" t="s">
        <v>152</v>
      </c>
      <c r="C74" s="17" t="s">
        <v>10</v>
      </c>
      <c r="D74" s="2" t="s">
        <v>878</v>
      </c>
      <c r="E74" s="2">
        <v>4</v>
      </c>
      <c r="F74" s="3">
        <v>2</v>
      </c>
      <c r="G74" s="2">
        <v>21</v>
      </c>
      <c r="H74" s="8">
        <v>2</v>
      </c>
      <c r="J74" s="4">
        <v>3</v>
      </c>
      <c r="K74" s="2" t="str">
        <f t="shared" si="0"/>
        <v>resp-inc</v>
      </c>
      <c r="L74" s="2" t="s">
        <v>43</v>
      </c>
    </row>
    <row r="75" spans="1:12" x14ac:dyDescent="0.2">
      <c r="A75" s="2" t="s">
        <v>4</v>
      </c>
      <c r="B75" s="2" t="s">
        <v>152</v>
      </c>
      <c r="C75" s="2" t="s">
        <v>10</v>
      </c>
      <c r="D75" s="2" t="s">
        <v>879</v>
      </c>
      <c r="E75" s="2">
        <v>4</v>
      </c>
      <c r="F75" s="3">
        <v>3</v>
      </c>
      <c r="G75" s="2">
        <v>22</v>
      </c>
      <c r="H75" s="8">
        <v>1</v>
      </c>
      <c r="J75" s="4">
        <v>4</v>
      </c>
      <c r="K75" s="2" t="str">
        <f t="shared" si="0"/>
        <v>resp-inc</v>
      </c>
      <c r="L75" s="4" t="s">
        <v>43</v>
      </c>
    </row>
    <row r="76" spans="1:12" x14ac:dyDescent="0.2">
      <c r="A76" s="2" t="s">
        <v>4</v>
      </c>
      <c r="B76" s="2" t="s">
        <v>152</v>
      </c>
      <c r="C76" s="2" t="s">
        <v>10</v>
      </c>
      <c r="D76" s="2" t="s">
        <v>880</v>
      </c>
      <c r="E76" s="2">
        <v>4</v>
      </c>
      <c r="F76" s="3">
        <v>4</v>
      </c>
      <c r="G76" s="2">
        <v>23</v>
      </c>
      <c r="H76" s="8">
        <v>2</v>
      </c>
      <c r="J76" s="4">
        <v>3</v>
      </c>
      <c r="K76" s="2" t="str">
        <f t="shared" si="0"/>
        <v>resp-inc</v>
      </c>
      <c r="L76" s="2" t="s">
        <v>43</v>
      </c>
    </row>
    <row r="77" spans="1:12" x14ac:dyDescent="0.2">
      <c r="A77" s="2" t="s">
        <v>4</v>
      </c>
      <c r="B77" s="2" t="s">
        <v>152</v>
      </c>
      <c r="C77" s="2" t="s">
        <v>10</v>
      </c>
      <c r="D77" s="2" t="s">
        <v>881</v>
      </c>
      <c r="E77" s="2">
        <v>4</v>
      </c>
      <c r="F77" s="3">
        <v>5</v>
      </c>
      <c r="G77" s="2">
        <v>24</v>
      </c>
      <c r="H77" s="8">
        <v>1</v>
      </c>
      <c r="J77" s="4">
        <v>1</v>
      </c>
      <c r="K77" s="2" t="str">
        <f t="shared" si="0"/>
        <v>resp-correct</v>
      </c>
      <c r="L77" s="4" t="s">
        <v>40</v>
      </c>
    </row>
    <row r="78" spans="1:12" x14ac:dyDescent="0.2">
      <c r="A78" s="2" t="s">
        <v>4</v>
      </c>
      <c r="B78" s="2" t="s">
        <v>152</v>
      </c>
      <c r="C78" s="2" t="s">
        <v>11</v>
      </c>
      <c r="D78" s="2" t="s">
        <v>882</v>
      </c>
      <c r="E78" s="2">
        <v>5</v>
      </c>
      <c r="F78" s="3">
        <v>1</v>
      </c>
      <c r="G78" s="2">
        <v>25</v>
      </c>
      <c r="H78" s="8">
        <v>1</v>
      </c>
      <c r="J78" s="4">
        <v>4</v>
      </c>
      <c r="K78" s="2" t="str">
        <f t="shared" si="0"/>
        <v>resp-inc</v>
      </c>
      <c r="L78" s="2" t="s">
        <v>42</v>
      </c>
    </row>
    <row r="79" spans="1:12" x14ac:dyDescent="0.2">
      <c r="A79" s="2" t="s">
        <v>4</v>
      </c>
      <c r="B79" s="2" t="s">
        <v>152</v>
      </c>
      <c r="C79" s="2" t="s">
        <v>11</v>
      </c>
      <c r="D79" s="2" t="s">
        <v>883</v>
      </c>
      <c r="E79" s="2">
        <v>5</v>
      </c>
      <c r="F79" s="3">
        <v>2</v>
      </c>
      <c r="G79" s="2">
        <v>26</v>
      </c>
      <c r="H79" s="8">
        <v>2</v>
      </c>
      <c r="J79" s="4">
        <v>2</v>
      </c>
      <c r="K79" s="2" t="str">
        <f t="shared" ref="K79:K142" si="1">IF(H79=J79,"resp-correct","resp-inc")</f>
        <v>resp-correct</v>
      </c>
      <c r="L79" s="2" t="s">
        <v>41</v>
      </c>
    </row>
    <row r="80" spans="1:12" x14ac:dyDescent="0.2">
      <c r="A80" s="2" t="s">
        <v>4</v>
      </c>
      <c r="B80" s="2" t="s">
        <v>152</v>
      </c>
      <c r="C80" s="2" t="s">
        <v>11</v>
      </c>
      <c r="D80" s="2" t="s">
        <v>884</v>
      </c>
      <c r="E80" s="2">
        <v>5</v>
      </c>
      <c r="F80" s="3">
        <v>3</v>
      </c>
      <c r="G80" s="2">
        <v>27</v>
      </c>
      <c r="H80" s="8">
        <v>2</v>
      </c>
      <c r="J80" s="4">
        <v>1</v>
      </c>
      <c r="K80" s="2" t="str">
        <f t="shared" si="1"/>
        <v>resp-inc</v>
      </c>
      <c r="L80" s="2" t="s">
        <v>43</v>
      </c>
    </row>
    <row r="81" spans="1:12" x14ac:dyDescent="0.2">
      <c r="A81" s="2" t="s">
        <v>4</v>
      </c>
      <c r="B81" s="2" t="s">
        <v>152</v>
      </c>
      <c r="C81" s="2" t="s">
        <v>11</v>
      </c>
      <c r="D81" s="2" t="s">
        <v>885</v>
      </c>
      <c r="E81" s="2">
        <v>5</v>
      </c>
      <c r="F81" s="3">
        <v>4</v>
      </c>
      <c r="G81" s="2">
        <v>28</v>
      </c>
      <c r="H81" s="8">
        <v>2</v>
      </c>
      <c r="J81" s="4">
        <v>2</v>
      </c>
      <c r="K81" s="2" t="str">
        <f t="shared" si="1"/>
        <v>resp-correct</v>
      </c>
      <c r="L81" s="2" t="s">
        <v>43</v>
      </c>
    </row>
    <row r="82" spans="1:12" x14ac:dyDescent="0.2">
      <c r="A82" s="2" t="s">
        <v>4</v>
      </c>
      <c r="B82" s="2" t="s">
        <v>152</v>
      </c>
      <c r="C82" s="2" t="s">
        <v>11</v>
      </c>
      <c r="D82" s="2" t="s">
        <v>886</v>
      </c>
      <c r="E82" s="2">
        <v>5</v>
      </c>
      <c r="F82" s="3">
        <v>5</v>
      </c>
      <c r="G82" s="2">
        <v>29</v>
      </c>
      <c r="H82" s="8">
        <v>2</v>
      </c>
      <c r="J82" s="4">
        <v>3</v>
      </c>
      <c r="K82" s="2" t="str">
        <f t="shared" si="1"/>
        <v>resp-inc</v>
      </c>
      <c r="L82" s="4" t="s">
        <v>39</v>
      </c>
    </row>
    <row r="83" spans="1:12" x14ac:dyDescent="0.2">
      <c r="A83" s="2" t="s">
        <v>4</v>
      </c>
      <c r="B83" s="2" t="s">
        <v>152</v>
      </c>
      <c r="C83" s="2" t="s">
        <v>11</v>
      </c>
      <c r="D83" s="2" t="s">
        <v>887</v>
      </c>
      <c r="E83" s="2">
        <v>5</v>
      </c>
      <c r="F83" s="3">
        <v>6</v>
      </c>
      <c r="G83" s="2">
        <v>30</v>
      </c>
      <c r="H83" s="8">
        <v>2</v>
      </c>
      <c r="J83" s="4">
        <v>4</v>
      </c>
      <c r="K83" s="2" t="str">
        <f t="shared" si="1"/>
        <v>resp-inc</v>
      </c>
      <c r="L83" s="2" t="s">
        <v>42</v>
      </c>
    </row>
    <row r="84" spans="1:12" x14ac:dyDescent="0.2">
      <c r="A84" s="2" t="s">
        <v>4</v>
      </c>
      <c r="B84" s="2" t="s">
        <v>152</v>
      </c>
      <c r="C84" s="2" t="s">
        <v>12</v>
      </c>
      <c r="D84" s="2" t="s">
        <v>888</v>
      </c>
      <c r="E84" s="2">
        <v>6</v>
      </c>
      <c r="F84" s="3">
        <v>1</v>
      </c>
      <c r="G84" s="2">
        <v>31</v>
      </c>
      <c r="H84" s="8">
        <v>2</v>
      </c>
      <c r="J84" s="4">
        <v>4</v>
      </c>
      <c r="K84" s="2" t="str">
        <f t="shared" si="1"/>
        <v>resp-inc</v>
      </c>
      <c r="L84" s="2" t="s">
        <v>43</v>
      </c>
    </row>
    <row r="85" spans="1:12" x14ac:dyDescent="0.2">
      <c r="A85" s="2" t="s">
        <v>4</v>
      </c>
      <c r="B85" s="2" t="s">
        <v>152</v>
      </c>
      <c r="C85" s="2" t="s">
        <v>12</v>
      </c>
      <c r="D85" s="2" t="s">
        <v>889</v>
      </c>
      <c r="E85" s="2">
        <v>6</v>
      </c>
      <c r="F85" s="3">
        <v>2</v>
      </c>
      <c r="G85" s="2">
        <v>32</v>
      </c>
      <c r="H85" s="8">
        <v>3</v>
      </c>
      <c r="J85" s="4">
        <v>2</v>
      </c>
      <c r="K85" s="2" t="str">
        <f t="shared" si="1"/>
        <v>resp-inc</v>
      </c>
      <c r="L85" s="4" t="s">
        <v>39</v>
      </c>
    </row>
    <row r="86" spans="1:12" x14ac:dyDescent="0.2">
      <c r="A86" s="2" t="s">
        <v>4</v>
      </c>
      <c r="B86" s="2" t="s">
        <v>152</v>
      </c>
      <c r="C86" s="2" t="s">
        <v>12</v>
      </c>
      <c r="D86" s="2" t="s">
        <v>890</v>
      </c>
      <c r="E86" s="2">
        <v>6</v>
      </c>
      <c r="F86" s="3">
        <v>3</v>
      </c>
      <c r="G86" s="2">
        <v>33</v>
      </c>
      <c r="H86" s="8">
        <v>2</v>
      </c>
      <c r="J86" s="4">
        <v>1</v>
      </c>
      <c r="K86" s="2" t="str">
        <f t="shared" si="1"/>
        <v>resp-inc</v>
      </c>
      <c r="L86" s="2" t="s">
        <v>43</v>
      </c>
    </row>
    <row r="87" spans="1:12" x14ac:dyDescent="0.2">
      <c r="A87" s="2" t="s">
        <v>4</v>
      </c>
      <c r="B87" s="2" t="s">
        <v>152</v>
      </c>
      <c r="C87" s="2" t="s">
        <v>12</v>
      </c>
      <c r="D87" s="2" t="s">
        <v>891</v>
      </c>
      <c r="E87" s="2">
        <v>6</v>
      </c>
      <c r="F87" s="3">
        <v>4</v>
      </c>
      <c r="G87" s="2">
        <v>34</v>
      </c>
      <c r="H87" s="8">
        <v>2</v>
      </c>
      <c r="J87" s="4">
        <v>2</v>
      </c>
      <c r="K87" s="2" t="str">
        <f t="shared" si="1"/>
        <v>resp-correct</v>
      </c>
      <c r="L87" s="2" t="s">
        <v>43</v>
      </c>
    </row>
    <row r="88" spans="1:12" x14ac:dyDescent="0.2">
      <c r="A88" s="2" t="s">
        <v>4</v>
      </c>
      <c r="B88" s="2" t="s">
        <v>152</v>
      </c>
      <c r="C88" s="2" t="s">
        <v>12</v>
      </c>
      <c r="D88" s="2" t="s">
        <v>892</v>
      </c>
      <c r="E88" s="2">
        <v>6</v>
      </c>
      <c r="F88" s="3">
        <v>5</v>
      </c>
      <c r="G88" s="2">
        <v>35</v>
      </c>
      <c r="H88" s="8">
        <v>3</v>
      </c>
      <c r="J88" s="4">
        <v>3</v>
      </c>
      <c r="K88" s="2" t="str">
        <f t="shared" si="1"/>
        <v>resp-correct</v>
      </c>
      <c r="L88" s="4" t="s">
        <v>40</v>
      </c>
    </row>
    <row r="89" spans="1:12" x14ac:dyDescent="0.2">
      <c r="A89" s="2" t="s">
        <v>4</v>
      </c>
      <c r="B89" s="2" t="s">
        <v>152</v>
      </c>
      <c r="C89" s="2" t="s">
        <v>91</v>
      </c>
      <c r="D89" s="2" t="s">
        <v>893</v>
      </c>
      <c r="E89" s="2">
        <v>7</v>
      </c>
      <c r="F89" s="3">
        <v>1</v>
      </c>
      <c r="G89" s="2">
        <v>36</v>
      </c>
      <c r="H89" s="8">
        <v>2</v>
      </c>
      <c r="J89" s="4">
        <v>4</v>
      </c>
      <c r="K89" s="2" t="str">
        <f t="shared" si="1"/>
        <v>resp-inc</v>
      </c>
      <c r="L89" s="2" t="s">
        <v>43</v>
      </c>
    </row>
    <row r="90" spans="1:12" x14ac:dyDescent="0.2">
      <c r="A90" s="2" t="s">
        <v>4</v>
      </c>
      <c r="B90" s="2" t="s">
        <v>152</v>
      </c>
      <c r="C90" s="2" t="s">
        <v>91</v>
      </c>
      <c r="D90" s="2" t="s">
        <v>894</v>
      </c>
      <c r="E90" s="2">
        <v>7</v>
      </c>
      <c r="F90" s="3">
        <v>2</v>
      </c>
      <c r="G90" s="2">
        <v>37</v>
      </c>
      <c r="H90" s="8">
        <v>3</v>
      </c>
      <c r="J90" s="4">
        <v>2</v>
      </c>
      <c r="K90" s="2" t="str">
        <f t="shared" si="1"/>
        <v>resp-inc</v>
      </c>
      <c r="L90" s="4" t="s">
        <v>39</v>
      </c>
    </row>
    <row r="91" spans="1:12" x14ac:dyDescent="0.2">
      <c r="A91" s="2" t="s">
        <v>4</v>
      </c>
      <c r="B91" s="2" t="s">
        <v>152</v>
      </c>
      <c r="C91" s="2" t="s">
        <v>91</v>
      </c>
      <c r="D91" s="2" t="s">
        <v>895</v>
      </c>
      <c r="E91" s="2">
        <v>7</v>
      </c>
      <c r="F91" s="3">
        <v>3</v>
      </c>
      <c r="G91" s="2">
        <v>38</v>
      </c>
      <c r="H91" s="8">
        <v>2</v>
      </c>
      <c r="J91" s="4">
        <v>4</v>
      </c>
      <c r="K91" s="2" t="str">
        <f t="shared" si="1"/>
        <v>resp-inc</v>
      </c>
      <c r="L91" s="2" t="s">
        <v>39</v>
      </c>
    </row>
    <row r="92" spans="1:12" x14ac:dyDescent="0.2">
      <c r="A92" s="2" t="s">
        <v>4</v>
      </c>
      <c r="B92" s="2" t="s">
        <v>152</v>
      </c>
      <c r="C92" s="2" t="s">
        <v>91</v>
      </c>
      <c r="D92" s="2" t="s">
        <v>896</v>
      </c>
      <c r="E92" s="2">
        <v>7</v>
      </c>
      <c r="F92" s="3">
        <v>4</v>
      </c>
      <c r="G92" s="2">
        <v>39</v>
      </c>
      <c r="H92" s="8">
        <v>2</v>
      </c>
      <c r="J92" s="4">
        <v>3</v>
      </c>
      <c r="K92" s="2" t="str">
        <f t="shared" si="1"/>
        <v>resp-inc</v>
      </c>
      <c r="L92" s="2" t="s">
        <v>43</v>
      </c>
    </row>
    <row r="93" spans="1:12" x14ac:dyDescent="0.2">
      <c r="A93" s="2" t="s">
        <v>4</v>
      </c>
      <c r="B93" s="2" t="s">
        <v>152</v>
      </c>
      <c r="C93" s="2" t="s">
        <v>91</v>
      </c>
      <c r="D93" s="2" t="s">
        <v>897</v>
      </c>
      <c r="E93" s="2">
        <v>7</v>
      </c>
      <c r="F93" s="3">
        <v>5</v>
      </c>
      <c r="G93" s="2">
        <v>40</v>
      </c>
      <c r="H93" s="8">
        <v>3</v>
      </c>
      <c r="J93" s="4">
        <v>4</v>
      </c>
      <c r="K93" s="2" t="str">
        <f t="shared" si="1"/>
        <v>resp-inc</v>
      </c>
      <c r="L93" s="4" t="s">
        <v>43</v>
      </c>
    </row>
    <row r="94" spans="1:12" x14ac:dyDescent="0.2">
      <c r="A94" s="2" t="s">
        <v>5</v>
      </c>
      <c r="B94" s="2" t="s">
        <v>153</v>
      </c>
      <c r="C94" s="2" t="s">
        <v>7</v>
      </c>
      <c r="D94" s="2" t="s">
        <v>898</v>
      </c>
      <c r="E94" s="2">
        <v>1</v>
      </c>
      <c r="F94" s="3">
        <v>1</v>
      </c>
      <c r="G94" s="2">
        <v>1</v>
      </c>
      <c r="H94" s="8">
        <v>3</v>
      </c>
      <c r="J94" s="4">
        <v>2</v>
      </c>
      <c r="K94" s="2" t="str">
        <f t="shared" si="1"/>
        <v>resp-inc</v>
      </c>
      <c r="L94" s="2" t="s">
        <v>45</v>
      </c>
    </row>
    <row r="95" spans="1:12" x14ac:dyDescent="0.2">
      <c r="A95" s="2" t="s">
        <v>5</v>
      </c>
      <c r="B95" s="2" t="s">
        <v>153</v>
      </c>
      <c r="C95" s="2" t="s">
        <v>7</v>
      </c>
      <c r="D95" s="2" t="s">
        <v>899</v>
      </c>
      <c r="E95" s="2">
        <v>1</v>
      </c>
      <c r="F95" s="3">
        <v>2</v>
      </c>
      <c r="G95" s="2">
        <v>2</v>
      </c>
      <c r="H95" s="8">
        <v>3</v>
      </c>
      <c r="J95" s="4">
        <v>1</v>
      </c>
      <c r="K95" s="2" t="str">
        <f t="shared" si="1"/>
        <v>resp-inc</v>
      </c>
      <c r="L95" s="2" t="s">
        <v>51</v>
      </c>
    </row>
    <row r="96" spans="1:12" x14ac:dyDescent="0.2">
      <c r="A96" s="2" t="s">
        <v>5</v>
      </c>
      <c r="B96" s="2" t="s">
        <v>153</v>
      </c>
      <c r="C96" s="2" t="s">
        <v>7</v>
      </c>
      <c r="D96" s="2" t="s">
        <v>900</v>
      </c>
      <c r="E96" s="2">
        <v>1</v>
      </c>
      <c r="F96" s="3">
        <v>3</v>
      </c>
      <c r="G96" s="2">
        <v>3</v>
      </c>
      <c r="H96" s="8">
        <v>3</v>
      </c>
      <c r="J96" s="4">
        <v>4</v>
      </c>
      <c r="K96" s="2" t="str">
        <f t="shared" si="1"/>
        <v>resp-inc</v>
      </c>
      <c r="L96" s="2" t="s">
        <v>141</v>
      </c>
    </row>
    <row r="97" spans="1:12" x14ac:dyDescent="0.2">
      <c r="A97" s="2" t="s">
        <v>5</v>
      </c>
      <c r="B97" s="2" t="s">
        <v>153</v>
      </c>
      <c r="C97" s="2" t="s">
        <v>7</v>
      </c>
      <c r="D97" s="2" t="s">
        <v>901</v>
      </c>
      <c r="E97" s="2">
        <v>1</v>
      </c>
      <c r="F97" s="3">
        <v>4</v>
      </c>
      <c r="G97" s="2">
        <v>4</v>
      </c>
      <c r="H97" s="8">
        <v>3</v>
      </c>
      <c r="J97" s="4">
        <v>1</v>
      </c>
      <c r="K97" s="2" t="str">
        <f t="shared" si="1"/>
        <v>resp-inc</v>
      </c>
      <c r="L97" s="2" t="s">
        <v>134</v>
      </c>
    </row>
    <row r="98" spans="1:12" x14ac:dyDescent="0.2">
      <c r="A98" s="2" t="s">
        <v>5</v>
      </c>
      <c r="B98" s="2" t="s">
        <v>153</v>
      </c>
      <c r="C98" s="2" t="s">
        <v>7</v>
      </c>
      <c r="D98" s="2" t="s">
        <v>902</v>
      </c>
      <c r="E98" s="2">
        <v>1</v>
      </c>
      <c r="F98" s="3">
        <v>5</v>
      </c>
      <c r="G98" s="2">
        <v>5</v>
      </c>
      <c r="H98" s="8">
        <v>3</v>
      </c>
      <c r="J98" s="4">
        <v>4</v>
      </c>
      <c r="K98" s="2" t="str">
        <f t="shared" si="1"/>
        <v>resp-inc</v>
      </c>
      <c r="L98" s="2" t="s">
        <v>134</v>
      </c>
    </row>
    <row r="99" spans="1:12" x14ac:dyDescent="0.2">
      <c r="A99" s="2" t="s">
        <v>5</v>
      </c>
      <c r="B99" s="2" t="s">
        <v>153</v>
      </c>
      <c r="C99" s="2" t="s">
        <v>7</v>
      </c>
      <c r="D99" s="2" t="s">
        <v>903</v>
      </c>
      <c r="E99" s="2">
        <v>1</v>
      </c>
      <c r="F99" s="3">
        <v>6</v>
      </c>
      <c r="G99" s="2">
        <v>6</v>
      </c>
      <c r="H99" s="8">
        <v>4</v>
      </c>
      <c r="J99" s="4">
        <v>2</v>
      </c>
      <c r="K99" s="2" t="str">
        <f t="shared" si="1"/>
        <v>resp-inc</v>
      </c>
      <c r="L99" s="2" t="s">
        <v>46</v>
      </c>
    </row>
    <row r="100" spans="1:12" x14ac:dyDescent="0.2">
      <c r="A100" s="2" t="s">
        <v>5</v>
      </c>
      <c r="B100" s="2" t="s">
        <v>153</v>
      </c>
      <c r="C100" s="2" t="s">
        <v>8</v>
      </c>
      <c r="D100" s="2" t="s">
        <v>904</v>
      </c>
      <c r="E100" s="2">
        <v>2</v>
      </c>
      <c r="F100" s="3">
        <v>1</v>
      </c>
      <c r="G100" s="2">
        <v>7</v>
      </c>
      <c r="H100" s="8">
        <v>4</v>
      </c>
      <c r="J100" s="4">
        <v>1</v>
      </c>
      <c r="K100" s="2" t="str">
        <f t="shared" si="1"/>
        <v>resp-inc</v>
      </c>
      <c r="L100" s="2" t="s">
        <v>136</v>
      </c>
    </row>
    <row r="101" spans="1:12" x14ac:dyDescent="0.2">
      <c r="A101" s="2" t="s">
        <v>5</v>
      </c>
      <c r="B101" s="2" t="s">
        <v>153</v>
      </c>
      <c r="C101" s="2" t="s">
        <v>8</v>
      </c>
      <c r="D101" s="2" t="s">
        <v>905</v>
      </c>
      <c r="E101" s="2">
        <v>2</v>
      </c>
      <c r="F101" s="3">
        <v>2</v>
      </c>
      <c r="G101" s="2">
        <v>8</v>
      </c>
      <c r="H101" s="8">
        <v>4</v>
      </c>
      <c r="J101" s="4">
        <v>4</v>
      </c>
      <c r="K101" s="2" t="str">
        <f t="shared" si="1"/>
        <v>resp-correct</v>
      </c>
      <c r="L101" s="2" t="s">
        <v>47</v>
      </c>
    </row>
    <row r="102" spans="1:12" x14ac:dyDescent="0.2">
      <c r="A102" s="2" t="s">
        <v>5</v>
      </c>
      <c r="B102" s="2" t="s">
        <v>153</v>
      </c>
      <c r="C102" s="2" t="s">
        <v>8</v>
      </c>
      <c r="D102" s="2" t="s">
        <v>906</v>
      </c>
      <c r="E102" s="2">
        <v>2</v>
      </c>
      <c r="F102" s="3">
        <v>3</v>
      </c>
      <c r="G102" s="2">
        <v>9</v>
      </c>
      <c r="H102" s="8">
        <v>4</v>
      </c>
      <c r="J102" s="4">
        <v>3</v>
      </c>
      <c r="K102" s="2" t="str">
        <f t="shared" si="1"/>
        <v>resp-inc</v>
      </c>
      <c r="L102" s="2" t="s">
        <v>47</v>
      </c>
    </row>
    <row r="103" spans="1:12" x14ac:dyDescent="0.2">
      <c r="A103" s="2" t="s">
        <v>5</v>
      </c>
      <c r="B103" s="2" t="s">
        <v>153</v>
      </c>
      <c r="C103" s="2" t="s">
        <v>8</v>
      </c>
      <c r="D103" s="2" t="s">
        <v>907</v>
      </c>
      <c r="E103" s="2">
        <v>2</v>
      </c>
      <c r="F103" s="3">
        <v>4</v>
      </c>
      <c r="G103" s="2">
        <v>10</v>
      </c>
      <c r="H103" s="8">
        <v>4</v>
      </c>
      <c r="J103" s="4">
        <v>4</v>
      </c>
      <c r="K103" s="2" t="str">
        <f t="shared" si="1"/>
        <v>resp-correct</v>
      </c>
      <c r="L103" s="2" t="s">
        <v>47</v>
      </c>
    </row>
    <row r="104" spans="1:12" x14ac:dyDescent="0.2">
      <c r="A104" s="2" t="s">
        <v>5</v>
      </c>
      <c r="B104" s="2" t="s">
        <v>153</v>
      </c>
      <c r="C104" s="2" t="s">
        <v>8</v>
      </c>
      <c r="D104" s="2" t="s">
        <v>908</v>
      </c>
      <c r="E104" s="2">
        <v>2</v>
      </c>
      <c r="F104" s="3">
        <v>5</v>
      </c>
      <c r="G104" s="2">
        <v>11</v>
      </c>
      <c r="H104" s="8">
        <v>1</v>
      </c>
      <c r="J104" s="4">
        <v>1</v>
      </c>
      <c r="K104" s="2" t="str">
        <f t="shared" si="1"/>
        <v>resp-correct</v>
      </c>
      <c r="L104" s="2" t="s">
        <v>47</v>
      </c>
    </row>
    <row r="105" spans="1:12" x14ac:dyDescent="0.2">
      <c r="A105" s="2" t="s">
        <v>5</v>
      </c>
      <c r="B105" s="2" t="s">
        <v>153</v>
      </c>
      <c r="C105" s="2" t="s">
        <v>6</v>
      </c>
      <c r="D105" s="2" t="s">
        <v>909</v>
      </c>
      <c r="E105" s="2">
        <v>3</v>
      </c>
      <c r="F105" s="3">
        <v>1</v>
      </c>
      <c r="G105" s="2">
        <v>12</v>
      </c>
      <c r="H105" s="8">
        <v>1</v>
      </c>
      <c r="J105" s="4">
        <v>3</v>
      </c>
      <c r="K105" s="2" t="str">
        <f t="shared" si="1"/>
        <v>resp-inc</v>
      </c>
      <c r="L105" s="2" t="s">
        <v>56</v>
      </c>
    </row>
    <row r="106" spans="1:12" x14ac:dyDescent="0.2">
      <c r="A106" s="2" t="s">
        <v>5</v>
      </c>
      <c r="B106" s="2" t="s">
        <v>153</v>
      </c>
      <c r="C106" s="2" t="s">
        <v>6</v>
      </c>
      <c r="D106" s="2" t="s">
        <v>910</v>
      </c>
      <c r="E106" s="2">
        <v>3</v>
      </c>
      <c r="F106" s="3">
        <v>2</v>
      </c>
      <c r="G106" s="2">
        <v>13</v>
      </c>
      <c r="H106" s="8">
        <v>1</v>
      </c>
      <c r="J106" s="4">
        <v>3</v>
      </c>
      <c r="K106" s="2" t="str">
        <f t="shared" si="1"/>
        <v>resp-inc</v>
      </c>
      <c r="L106" s="2" t="s">
        <v>132</v>
      </c>
    </row>
    <row r="107" spans="1:12" x14ac:dyDescent="0.2">
      <c r="A107" s="2" t="s">
        <v>5</v>
      </c>
      <c r="B107" s="2" t="s">
        <v>153</v>
      </c>
      <c r="C107" s="2" t="s">
        <v>6</v>
      </c>
      <c r="D107" s="2" t="s">
        <v>911</v>
      </c>
      <c r="E107" s="2">
        <v>3</v>
      </c>
      <c r="F107" s="3">
        <v>3</v>
      </c>
      <c r="G107" s="2">
        <v>14</v>
      </c>
      <c r="H107" s="8">
        <v>1</v>
      </c>
      <c r="J107" s="4">
        <v>4</v>
      </c>
      <c r="K107" s="2" t="str">
        <f t="shared" si="1"/>
        <v>resp-inc</v>
      </c>
      <c r="L107" s="2" t="s">
        <v>47</v>
      </c>
    </row>
    <row r="108" spans="1:12" x14ac:dyDescent="0.2">
      <c r="A108" s="2" t="s">
        <v>5</v>
      </c>
      <c r="B108" s="2" t="s">
        <v>153</v>
      </c>
      <c r="C108" s="2" t="s">
        <v>6</v>
      </c>
      <c r="D108" s="2" t="s">
        <v>912</v>
      </c>
      <c r="E108" s="2">
        <v>3</v>
      </c>
      <c r="F108" s="3">
        <v>4</v>
      </c>
      <c r="G108" s="2">
        <v>15</v>
      </c>
      <c r="H108" s="8">
        <v>2</v>
      </c>
      <c r="J108" s="4">
        <v>4</v>
      </c>
      <c r="K108" s="2" t="str">
        <f t="shared" si="1"/>
        <v>resp-inc</v>
      </c>
      <c r="L108" s="2" t="s">
        <v>44</v>
      </c>
    </row>
    <row r="109" spans="1:12" x14ac:dyDescent="0.2">
      <c r="A109" s="2" t="s">
        <v>5</v>
      </c>
      <c r="B109" s="2" t="s">
        <v>153</v>
      </c>
      <c r="C109" s="2" t="s">
        <v>9</v>
      </c>
      <c r="D109" s="2" t="s">
        <v>913</v>
      </c>
      <c r="E109" s="2">
        <v>4</v>
      </c>
      <c r="F109" s="3">
        <v>1</v>
      </c>
      <c r="G109" s="2">
        <v>16</v>
      </c>
      <c r="H109" s="8">
        <v>2</v>
      </c>
      <c r="J109" s="4">
        <v>1</v>
      </c>
      <c r="K109" s="2" t="str">
        <f t="shared" si="1"/>
        <v>resp-inc</v>
      </c>
      <c r="L109" s="2" t="s">
        <v>130</v>
      </c>
    </row>
    <row r="110" spans="1:12" x14ac:dyDescent="0.2">
      <c r="A110" s="2" t="s">
        <v>5</v>
      </c>
      <c r="B110" s="2" t="s">
        <v>153</v>
      </c>
      <c r="C110" s="2" t="s">
        <v>9</v>
      </c>
      <c r="D110" s="2" t="s">
        <v>914</v>
      </c>
      <c r="E110" s="2">
        <v>4</v>
      </c>
      <c r="F110" s="3">
        <v>2</v>
      </c>
      <c r="G110" s="2">
        <v>17</v>
      </c>
      <c r="H110" s="8">
        <v>2</v>
      </c>
      <c r="J110" s="4">
        <v>3</v>
      </c>
      <c r="K110" s="2" t="str">
        <f t="shared" si="1"/>
        <v>resp-inc</v>
      </c>
      <c r="L110" s="2" t="s">
        <v>130</v>
      </c>
    </row>
    <row r="111" spans="1:12" x14ac:dyDescent="0.2">
      <c r="A111" s="2" t="s">
        <v>5</v>
      </c>
      <c r="B111" s="2" t="s">
        <v>153</v>
      </c>
      <c r="C111" s="2" t="s">
        <v>9</v>
      </c>
      <c r="D111" s="2" t="s">
        <v>915</v>
      </c>
      <c r="E111" s="2">
        <v>4</v>
      </c>
      <c r="F111" s="3">
        <v>3</v>
      </c>
      <c r="G111" s="2">
        <v>18</v>
      </c>
      <c r="H111" s="8">
        <v>2</v>
      </c>
      <c r="J111" s="4">
        <v>2</v>
      </c>
      <c r="K111" s="2" t="str">
        <f t="shared" si="1"/>
        <v>resp-correct</v>
      </c>
      <c r="L111" s="2" t="s">
        <v>130</v>
      </c>
    </row>
    <row r="112" spans="1:12" x14ac:dyDescent="0.2">
      <c r="A112" s="2" t="s">
        <v>5</v>
      </c>
      <c r="B112" s="2" t="s">
        <v>153</v>
      </c>
      <c r="C112" s="2" t="s">
        <v>9</v>
      </c>
      <c r="D112" s="2" t="s">
        <v>916</v>
      </c>
      <c r="E112" s="2">
        <v>4</v>
      </c>
      <c r="F112" s="3">
        <v>4</v>
      </c>
      <c r="G112" s="2">
        <v>19</v>
      </c>
      <c r="H112" s="8">
        <v>2</v>
      </c>
      <c r="J112" s="4">
        <v>2</v>
      </c>
      <c r="K112" s="2" t="str">
        <f t="shared" si="1"/>
        <v>resp-correct</v>
      </c>
      <c r="L112" s="2" t="s">
        <v>130</v>
      </c>
    </row>
    <row r="113" spans="1:12" x14ac:dyDescent="0.2">
      <c r="A113" s="2" t="s">
        <v>5</v>
      </c>
      <c r="B113" s="2" t="s">
        <v>153</v>
      </c>
      <c r="C113" s="2" t="s">
        <v>9</v>
      </c>
      <c r="D113" s="2" t="s">
        <v>917</v>
      </c>
      <c r="E113" s="2">
        <v>4</v>
      </c>
      <c r="F113" s="3">
        <v>5</v>
      </c>
      <c r="G113" s="2">
        <v>20</v>
      </c>
      <c r="H113" s="8">
        <v>1</v>
      </c>
      <c r="J113" s="4">
        <v>1</v>
      </c>
      <c r="K113" s="2" t="str">
        <f t="shared" si="1"/>
        <v>resp-correct</v>
      </c>
      <c r="L113" s="2" t="s">
        <v>130</v>
      </c>
    </row>
    <row r="114" spans="1:12" x14ac:dyDescent="0.2">
      <c r="A114" s="2" t="s">
        <v>5</v>
      </c>
      <c r="B114" s="2" t="s">
        <v>153</v>
      </c>
      <c r="C114" s="2" t="s">
        <v>9</v>
      </c>
      <c r="D114" s="2" t="s">
        <v>918</v>
      </c>
      <c r="E114" s="2">
        <v>4</v>
      </c>
      <c r="F114" s="3">
        <v>6</v>
      </c>
      <c r="G114" s="2">
        <v>21</v>
      </c>
      <c r="H114" s="8">
        <v>2</v>
      </c>
      <c r="J114" s="4">
        <v>3</v>
      </c>
      <c r="K114" s="2" t="str">
        <f t="shared" si="1"/>
        <v>resp-inc</v>
      </c>
      <c r="L114" s="2" t="s">
        <v>130</v>
      </c>
    </row>
    <row r="115" spans="1:12" x14ac:dyDescent="0.2">
      <c r="A115" s="2" t="s">
        <v>5</v>
      </c>
      <c r="B115" s="2" t="s">
        <v>153</v>
      </c>
      <c r="C115" s="2" t="s">
        <v>10</v>
      </c>
      <c r="D115" s="2" t="s">
        <v>919</v>
      </c>
      <c r="E115" s="2">
        <v>5</v>
      </c>
      <c r="F115" s="3">
        <v>1</v>
      </c>
      <c r="G115" s="2">
        <v>22</v>
      </c>
      <c r="H115" s="8">
        <v>1</v>
      </c>
      <c r="J115" s="4">
        <v>4</v>
      </c>
      <c r="K115" s="2" t="str">
        <f t="shared" si="1"/>
        <v>resp-inc</v>
      </c>
      <c r="L115" s="2" t="s">
        <v>53</v>
      </c>
    </row>
    <row r="116" spans="1:12" x14ac:dyDescent="0.2">
      <c r="A116" s="2" t="s">
        <v>5</v>
      </c>
      <c r="B116" s="2" t="s">
        <v>153</v>
      </c>
      <c r="C116" s="2" t="s">
        <v>10</v>
      </c>
      <c r="D116" s="2" t="s">
        <v>920</v>
      </c>
      <c r="E116" s="2">
        <v>5</v>
      </c>
      <c r="F116" s="3">
        <v>2</v>
      </c>
      <c r="G116" s="2">
        <v>23</v>
      </c>
      <c r="H116" s="8">
        <v>1</v>
      </c>
      <c r="J116" s="4">
        <v>3</v>
      </c>
      <c r="K116" s="2" t="str">
        <f t="shared" si="1"/>
        <v>resp-inc</v>
      </c>
      <c r="L116" s="2" t="s">
        <v>53</v>
      </c>
    </row>
    <row r="117" spans="1:12" x14ac:dyDescent="0.2">
      <c r="A117" s="2" t="s">
        <v>5</v>
      </c>
      <c r="B117" s="2" t="s">
        <v>153</v>
      </c>
      <c r="C117" s="2" t="s">
        <v>10</v>
      </c>
      <c r="D117" s="2" t="s">
        <v>921</v>
      </c>
      <c r="E117" s="2">
        <v>5</v>
      </c>
      <c r="F117" s="3">
        <v>3</v>
      </c>
      <c r="G117" s="2">
        <v>24</v>
      </c>
      <c r="H117" s="8">
        <v>2</v>
      </c>
      <c r="J117" s="4">
        <v>4</v>
      </c>
      <c r="K117" s="2" t="str">
        <f t="shared" si="1"/>
        <v>resp-inc</v>
      </c>
      <c r="L117" s="2" t="s">
        <v>53</v>
      </c>
    </row>
    <row r="118" spans="1:12" x14ac:dyDescent="0.2">
      <c r="A118" s="2" t="s">
        <v>5</v>
      </c>
      <c r="B118" s="2" t="s">
        <v>153</v>
      </c>
      <c r="C118" s="2" t="s">
        <v>10</v>
      </c>
      <c r="D118" s="2" t="s">
        <v>922</v>
      </c>
      <c r="E118" s="2">
        <v>5</v>
      </c>
      <c r="F118" s="3">
        <v>4</v>
      </c>
      <c r="G118" s="2">
        <v>25</v>
      </c>
      <c r="H118" s="8">
        <v>2</v>
      </c>
      <c r="J118" s="4">
        <v>2</v>
      </c>
      <c r="K118" s="2" t="str">
        <f t="shared" si="1"/>
        <v>resp-correct</v>
      </c>
      <c r="L118" s="2" t="s">
        <v>53</v>
      </c>
    </row>
    <row r="119" spans="1:12" x14ac:dyDescent="0.2">
      <c r="A119" s="2" t="s">
        <v>5</v>
      </c>
      <c r="B119" s="2" t="s">
        <v>153</v>
      </c>
      <c r="C119" s="2" t="s">
        <v>10</v>
      </c>
      <c r="D119" s="2" t="s">
        <v>923</v>
      </c>
      <c r="E119" s="2">
        <v>5</v>
      </c>
      <c r="F119" s="3">
        <v>5</v>
      </c>
      <c r="G119" s="2">
        <v>26</v>
      </c>
      <c r="H119" s="8">
        <v>2</v>
      </c>
      <c r="J119" s="4">
        <v>3</v>
      </c>
      <c r="K119" s="2" t="str">
        <f t="shared" si="1"/>
        <v>resp-inc</v>
      </c>
      <c r="L119" s="2" t="s">
        <v>53</v>
      </c>
    </row>
    <row r="120" spans="1:12" x14ac:dyDescent="0.2">
      <c r="A120" s="2" t="s">
        <v>5</v>
      </c>
      <c r="B120" s="2" t="s">
        <v>153</v>
      </c>
      <c r="C120" s="2" t="s">
        <v>6</v>
      </c>
      <c r="D120" s="2" t="s">
        <v>924</v>
      </c>
      <c r="E120" s="2">
        <v>6</v>
      </c>
      <c r="F120" s="3">
        <v>1</v>
      </c>
      <c r="G120" s="2">
        <v>27</v>
      </c>
      <c r="H120" s="8">
        <v>2</v>
      </c>
      <c r="J120" s="4">
        <v>3</v>
      </c>
      <c r="K120" s="2" t="str">
        <f t="shared" si="1"/>
        <v>resp-inc</v>
      </c>
      <c r="L120" s="2" t="s">
        <v>132</v>
      </c>
    </row>
    <row r="121" spans="1:12" x14ac:dyDescent="0.2">
      <c r="A121" s="2" t="s">
        <v>5</v>
      </c>
      <c r="B121" s="2" t="s">
        <v>153</v>
      </c>
      <c r="C121" s="2" t="s">
        <v>6</v>
      </c>
      <c r="D121" s="2" t="s">
        <v>925</v>
      </c>
      <c r="E121" s="2">
        <v>6</v>
      </c>
      <c r="F121" s="3">
        <v>2</v>
      </c>
      <c r="G121" s="2">
        <v>28</v>
      </c>
      <c r="H121" s="8">
        <v>2</v>
      </c>
      <c r="J121" s="4">
        <v>1</v>
      </c>
      <c r="K121" s="2" t="str">
        <f t="shared" si="1"/>
        <v>resp-inc</v>
      </c>
      <c r="L121" s="2" t="s">
        <v>44</v>
      </c>
    </row>
    <row r="122" spans="1:12" x14ac:dyDescent="0.2">
      <c r="A122" s="2" t="s">
        <v>5</v>
      </c>
      <c r="B122" s="2" t="s">
        <v>153</v>
      </c>
      <c r="C122" s="2" t="s">
        <v>6</v>
      </c>
      <c r="D122" s="2" t="s">
        <v>926</v>
      </c>
      <c r="E122" s="2">
        <v>6</v>
      </c>
      <c r="F122" s="3">
        <v>3</v>
      </c>
      <c r="G122" s="2">
        <v>29</v>
      </c>
      <c r="H122" s="8">
        <v>2</v>
      </c>
      <c r="J122" s="4">
        <v>1</v>
      </c>
      <c r="K122" s="2" t="str">
        <f t="shared" si="1"/>
        <v>resp-inc</v>
      </c>
      <c r="L122" s="2" t="s">
        <v>134</v>
      </c>
    </row>
    <row r="123" spans="1:12" x14ac:dyDescent="0.2">
      <c r="A123" s="2" t="s">
        <v>5</v>
      </c>
      <c r="B123" s="2" t="s">
        <v>153</v>
      </c>
      <c r="C123" s="2" t="s">
        <v>6</v>
      </c>
      <c r="D123" s="2" t="s">
        <v>927</v>
      </c>
      <c r="E123" s="2">
        <v>6</v>
      </c>
      <c r="F123" s="3">
        <v>4</v>
      </c>
      <c r="G123" s="2">
        <v>30</v>
      </c>
      <c r="H123" s="8">
        <v>3</v>
      </c>
      <c r="J123" s="4">
        <v>4</v>
      </c>
      <c r="K123" s="2" t="str">
        <f t="shared" si="1"/>
        <v>resp-inc</v>
      </c>
      <c r="L123" s="2" t="s">
        <v>51</v>
      </c>
    </row>
    <row r="124" spans="1:12" x14ac:dyDescent="0.2">
      <c r="A124" s="2" t="s">
        <v>5</v>
      </c>
      <c r="B124" s="2" t="s">
        <v>153</v>
      </c>
      <c r="C124" s="2" t="s">
        <v>11</v>
      </c>
      <c r="D124" s="2" t="s">
        <v>928</v>
      </c>
      <c r="E124" s="2">
        <v>7</v>
      </c>
      <c r="F124" s="3">
        <v>1</v>
      </c>
      <c r="G124" s="2">
        <v>31</v>
      </c>
      <c r="H124" s="8">
        <v>3</v>
      </c>
      <c r="J124" s="4">
        <v>1</v>
      </c>
      <c r="K124" s="2" t="str">
        <f t="shared" si="1"/>
        <v>resp-inc</v>
      </c>
      <c r="L124" s="2" t="s">
        <v>55</v>
      </c>
    </row>
    <row r="125" spans="1:12" x14ac:dyDescent="0.2">
      <c r="A125" s="2" t="s">
        <v>5</v>
      </c>
      <c r="B125" s="2" t="s">
        <v>153</v>
      </c>
      <c r="C125" s="2" t="s">
        <v>11</v>
      </c>
      <c r="D125" s="2" t="s">
        <v>929</v>
      </c>
      <c r="E125" s="2">
        <v>7</v>
      </c>
      <c r="F125" s="3">
        <v>2</v>
      </c>
      <c r="G125" s="2">
        <v>32</v>
      </c>
      <c r="H125" s="8">
        <v>3</v>
      </c>
      <c r="J125" s="4">
        <v>4</v>
      </c>
      <c r="K125" s="2" t="str">
        <f t="shared" si="1"/>
        <v>resp-inc</v>
      </c>
      <c r="L125" s="2" t="s">
        <v>55</v>
      </c>
    </row>
    <row r="126" spans="1:12" x14ac:dyDescent="0.2">
      <c r="A126" s="2" t="s">
        <v>5</v>
      </c>
      <c r="B126" s="2" t="s">
        <v>153</v>
      </c>
      <c r="C126" s="2" t="s">
        <v>11</v>
      </c>
      <c r="D126" s="2" t="s">
        <v>930</v>
      </c>
      <c r="E126" s="2">
        <v>7</v>
      </c>
      <c r="F126" s="3">
        <v>3</v>
      </c>
      <c r="G126" s="2">
        <v>33</v>
      </c>
      <c r="H126" s="8">
        <v>3</v>
      </c>
      <c r="J126" s="4">
        <v>4</v>
      </c>
      <c r="K126" s="2" t="str">
        <f t="shared" si="1"/>
        <v>resp-inc</v>
      </c>
      <c r="L126" s="2" t="s">
        <v>55</v>
      </c>
    </row>
    <row r="127" spans="1:12" x14ac:dyDescent="0.2">
      <c r="A127" s="2" t="s">
        <v>5</v>
      </c>
      <c r="B127" s="2" t="s">
        <v>153</v>
      </c>
      <c r="C127" s="2" t="s">
        <v>11</v>
      </c>
      <c r="D127" s="2" t="s">
        <v>931</v>
      </c>
      <c r="E127" s="2">
        <v>7</v>
      </c>
      <c r="F127" s="3">
        <v>4</v>
      </c>
      <c r="G127" s="2">
        <v>34</v>
      </c>
      <c r="H127" s="8">
        <v>3</v>
      </c>
      <c r="J127" s="4">
        <v>2</v>
      </c>
      <c r="K127" s="2" t="str">
        <f t="shared" si="1"/>
        <v>resp-inc</v>
      </c>
      <c r="L127" s="2" t="s">
        <v>55</v>
      </c>
    </row>
    <row r="128" spans="1:12" x14ac:dyDescent="0.2">
      <c r="A128" s="2" t="s">
        <v>5</v>
      </c>
      <c r="B128" s="2" t="s">
        <v>153</v>
      </c>
      <c r="C128" s="2" t="s">
        <v>11</v>
      </c>
      <c r="D128" s="2" t="s">
        <v>932</v>
      </c>
      <c r="E128" s="2">
        <v>7</v>
      </c>
      <c r="F128" s="3">
        <v>5</v>
      </c>
      <c r="G128" s="2">
        <v>35</v>
      </c>
      <c r="H128" s="8">
        <v>3</v>
      </c>
      <c r="J128" s="4">
        <v>1</v>
      </c>
      <c r="K128" s="2" t="str">
        <f t="shared" si="1"/>
        <v>resp-inc</v>
      </c>
      <c r="L128" s="2" t="s">
        <v>55</v>
      </c>
    </row>
    <row r="129" spans="1:12" x14ac:dyDescent="0.2">
      <c r="A129" s="2" t="s">
        <v>5</v>
      </c>
      <c r="B129" s="2" t="s">
        <v>153</v>
      </c>
      <c r="C129" s="2" t="s">
        <v>12</v>
      </c>
      <c r="D129" s="2" t="s">
        <v>933</v>
      </c>
      <c r="E129" s="2">
        <v>8</v>
      </c>
      <c r="F129" s="3">
        <v>1</v>
      </c>
      <c r="G129" s="2">
        <v>36</v>
      </c>
      <c r="H129" s="8">
        <v>4</v>
      </c>
      <c r="J129" s="4">
        <v>2</v>
      </c>
      <c r="K129" s="2" t="str">
        <f t="shared" si="1"/>
        <v>resp-inc</v>
      </c>
      <c r="L129" s="2" t="s">
        <v>47</v>
      </c>
    </row>
    <row r="130" spans="1:12" x14ac:dyDescent="0.2">
      <c r="A130" s="2" t="s">
        <v>5</v>
      </c>
      <c r="B130" s="2" t="s">
        <v>153</v>
      </c>
      <c r="C130" s="2" t="s">
        <v>12</v>
      </c>
      <c r="D130" s="2" t="s">
        <v>934</v>
      </c>
      <c r="E130" s="2">
        <v>8</v>
      </c>
      <c r="F130" s="3">
        <v>2</v>
      </c>
      <c r="G130" s="2">
        <v>37</v>
      </c>
      <c r="H130" s="8">
        <v>4</v>
      </c>
      <c r="J130" s="4">
        <v>2</v>
      </c>
      <c r="K130" s="2" t="str">
        <f t="shared" si="1"/>
        <v>resp-inc</v>
      </c>
      <c r="L130" s="2" t="s">
        <v>47</v>
      </c>
    </row>
    <row r="131" spans="1:12" x14ac:dyDescent="0.2">
      <c r="A131" s="2" t="s">
        <v>5</v>
      </c>
      <c r="B131" s="2" t="s">
        <v>153</v>
      </c>
      <c r="C131" s="2" t="s">
        <v>12</v>
      </c>
      <c r="D131" s="2" t="s">
        <v>935</v>
      </c>
      <c r="E131" s="2">
        <v>8</v>
      </c>
      <c r="F131" s="3">
        <v>3</v>
      </c>
      <c r="G131" s="2">
        <v>38</v>
      </c>
      <c r="H131" s="8">
        <v>4</v>
      </c>
      <c r="J131" s="4">
        <v>3</v>
      </c>
      <c r="K131" s="2" t="str">
        <f t="shared" si="1"/>
        <v>resp-inc</v>
      </c>
      <c r="L131" s="2" t="s">
        <v>47</v>
      </c>
    </row>
    <row r="132" spans="1:12" x14ac:dyDescent="0.2">
      <c r="A132" s="2" t="s">
        <v>5</v>
      </c>
      <c r="B132" s="2" t="s">
        <v>153</v>
      </c>
      <c r="C132" s="2" t="s">
        <v>12</v>
      </c>
      <c r="D132" s="2" t="s">
        <v>936</v>
      </c>
      <c r="E132" s="2">
        <v>8</v>
      </c>
      <c r="F132" s="3">
        <v>4</v>
      </c>
      <c r="G132" s="2">
        <v>39</v>
      </c>
      <c r="H132" s="8">
        <v>4</v>
      </c>
      <c r="J132" s="4">
        <v>3</v>
      </c>
      <c r="K132" s="2" t="str">
        <f t="shared" si="1"/>
        <v>resp-inc</v>
      </c>
      <c r="L132" s="2" t="s">
        <v>136</v>
      </c>
    </row>
    <row r="133" spans="1:12" x14ac:dyDescent="0.2">
      <c r="A133" s="2" t="s">
        <v>5</v>
      </c>
      <c r="B133" s="2" t="s">
        <v>153</v>
      </c>
      <c r="C133" s="2" t="s">
        <v>12</v>
      </c>
      <c r="D133" s="2" t="s">
        <v>937</v>
      </c>
      <c r="E133" s="2">
        <v>8</v>
      </c>
      <c r="F133" s="3">
        <v>5</v>
      </c>
      <c r="G133" s="2">
        <v>40</v>
      </c>
      <c r="H133" s="8">
        <v>3</v>
      </c>
      <c r="J133" s="4">
        <v>1</v>
      </c>
      <c r="K133" s="2" t="str">
        <f t="shared" si="1"/>
        <v>resp-inc</v>
      </c>
      <c r="L133" s="2" t="s">
        <v>47</v>
      </c>
    </row>
    <row r="134" spans="1:12" x14ac:dyDescent="0.2">
      <c r="A134" s="2" t="s">
        <v>5</v>
      </c>
      <c r="B134" s="2" t="s">
        <v>153</v>
      </c>
      <c r="C134" s="2" t="s">
        <v>12</v>
      </c>
      <c r="D134" s="2" t="s">
        <v>938</v>
      </c>
      <c r="E134" s="2">
        <v>8</v>
      </c>
      <c r="F134" s="3">
        <v>6</v>
      </c>
      <c r="G134" s="2">
        <v>41</v>
      </c>
      <c r="H134" s="8">
        <v>3</v>
      </c>
      <c r="J134" s="4">
        <v>3</v>
      </c>
      <c r="K134" s="2" t="str">
        <f t="shared" si="1"/>
        <v>resp-correct</v>
      </c>
      <c r="L134" s="2" t="s">
        <v>47</v>
      </c>
    </row>
    <row r="135" spans="1:12" x14ac:dyDescent="0.2">
      <c r="A135" s="2" t="s">
        <v>5</v>
      </c>
      <c r="B135" s="2" t="s">
        <v>153</v>
      </c>
      <c r="C135" s="2" t="s">
        <v>91</v>
      </c>
      <c r="D135" s="2" t="s">
        <v>939</v>
      </c>
      <c r="E135" s="2">
        <v>9</v>
      </c>
      <c r="F135" s="3">
        <v>1</v>
      </c>
      <c r="G135" s="2">
        <v>42</v>
      </c>
      <c r="H135" s="8">
        <v>3</v>
      </c>
      <c r="J135" s="4">
        <v>2</v>
      </c>
      <c r="K135" s="2" t="str">
        <f t="shared" si="1"/>
        <v>resp-inc</v>
      </c>
      <c r="L135" s="2" t="s">
        <v>134</v>
      </c>
    </row>
    <row r="136" spans="1:12" x14ac:dyDescent="0.2">
      <c r="A136" s="2" t="s">
        <v>5</v>
      </c>
      <c r="B136" s="2" t="s">
        <v>153</v>
      </c>
      <c r="C136" s="2" t="s">
        <v>91</v>
      </c>
      <c r="D136" s="2" t="s">
        <v>940</v>
      </c>
      <c r="E136" s="2">
        <v>9</v>
      </c>
      <c r="F136" s="3">
        <v>2</v>
      </c>
      <c r="G136" s="2">
        <v>43</v>
      </c>
      <c r="H136" s="8">
        <v>3</v>
      </c>
      <c r="J136" s="4">
        <v>4</v>
      </c>
      <c r="K136" s="2" t="str">
        <f t="shared" si="1"/>
        <v>resp-inc</v>
      </c>
      <c r="L136" s="2" t="s">
        <v>54</v>
      </c>
    </row>
    <row r="137" spans="1:12" x14ac:dyDescent="0.2">
      <c r="A137" s="2" t="s">
        <v>5</v>
      </c>
      <c r="B137" s="2" t="s">
        <v>153</v>
      </c>
      <c r="C137" s="2" t="s">
        <v>91</v>
      </c>
      <c r="D137" s="2" t="s">
        <v>941</v>
      </c>
      <c r="E137" s="2">
        <v>9</v>
      </c>
      <c r="F137" s="3">
        <v>3</v>
      </c>
      <c r="G137" s="2">
        <v>44</v>
      </c>
      <c r="H137" s="8">
        <v>3</v>
      </c>
      <c r="J137" s="4">
        <v>1</v>
      </c>
      <c r="K137" s="2" t="str">
        <f t="shared" si="1"/>
        <v>resp-inc</v>
      </c>
      <c r="L137" s="2" t="s">
        <v>134</v>
      </c>
    </row>
    <row r="138" spans="1:12" x14ac:dyDescent="0.2">
      <c r="A138" s="2" t="s">
        <v>5</v>
      </c>
      <c r="B138" s="2" t="s">
        <v>153</v>
      </c>
      <c r="C138" s="2" t="s">
        <v>91</v>
      </c>
      <c r="D138" s="2" t="s">
        <v>942</v>
      </c>
      <c r="E138" s="2">
        <v>9</v>
      </c>
      <c r="F138" s="3">
        <v>4</v>
      </c>
      <c r="G138" s="2">
        <v>45</v>
      </c>
      <c r="H138" s="8">
        <v>3</v>
      </c>
      <c r="J138" s="4">
        <v>2</v>
      </c>
      <c r="K138" s="2" t="str">
        <f t="shared" si="1"/>
        <v>resp-inc</v>
      </c>
      <c r="L138" s="2" t="s">
        <v>48</v>
      </c>
    </row>
    <row r="139" spans="1:12" x14ac:dyDescent="0.2">
      <c r="A139" s="2" t="s">
        <v>5</v>
      </c>
      <c r="B139" s="2" t="s">
        <v>153</v>
      </c>
      <c r="C139" s="2" t="s">
        <v>91</v>
      </c>
      <c r="D139" s="2" t="s">
        <v>943</v>
      </c>
      <c r="E139" s="2">
        <v>9</v>
      </c>
      <c r="F139" s="3">
        <v>5</v>
      </c>
      <c r="G139" s="2">
        <v>46</v>
      </c>
      <c r="H139" s="8">
        <v>4</v>
      </c>
      <c r="J139" s="4">
        <v>1</v>
      </c>
      <c r="K139" s="2" t="str">
        <f t="shared" si="1"/>
        <v>resp-inc</v>
      </c>
      <c r="L139" s="2" t="s">
        <v>48</v>
      </c>
    </row>
    <row r="140" spans="1:12" x14ac:dyDescent="0.2">
      <c r="A140" s="2" t="s">
        <v>5</v>
      </c>
      <c r="B140" s="2" t="s">
        <v>153</v>
      </c>
      <c r="C140" s="2" t="s">
        <v>91</v>
      </c>
      <c r="D140" s="2" t="s">
        <v>944</v>
      </c>
      <c r="E140" s="2">
        <v>9</v>
      </c>
      <c r="F140" s="3">
        <v>6</v>
      </c>
      <c r="G140" s="2">
        <v>47</v>
      </c>
      <c r="H140" s="8">
        <v>4</v>
      </c>
      <c r="J140" s="4">
        <v>3</v>
      </c>
      <c r="K140" s="2" t="str">
        <f t="shared" si="1"/>
        <v>resp-inc</v>
      </c>
      <c r="L140" s="2" t="s">
        <v>54</v>
      </c>
    </row>
    <row r="141" spans="1:12" x14ac:dyDescent="0.2">
      <c r="A141" s="2" t="s">
        <v>5</v>
      </c>
      <c r="B141" s="2" t="s">
        <v>153</v>
      </c>
      <c r="C141" s="2" t="s">
        <v>6</v>
      </c>
      <c r="D141" s="2" t="s">
        <v>945</v>
      </c>
      <c r="E141" s="2">
        <v>10</v>
      </c>
      <c r="F141" s="3">
        <v>1</v>
      </c>
      <c r="G141" s="2">
        <v>48</v>
      </c>
      <c r="H141" s="8">
        <v>4</v>
      </c>
      <c r="J141" s="4">
        <v>1</v>
      </c>
      <c r="K141" s="2" t="str">
        <f t="shared" si="1"/>
        <v>resp-inc</v>
      </c>
      <c r="L141" s="2" t="s">
        <v>49</v>
      </c>
    </row>
    <row r="142" spans="1:12" x14ac:dyDescent="0.2">
      <c r="A142" s="2" t="s">
        <v>5</v>
      </c>
      <c r="B142" s="2" t="s">
        <v>153</v>
      </c>
      <c r="C142" s="2" t="s">
        <v>6</v>
      </c>
      <c r="D142" s="2" t="s">
        <v>946</v>
      </c>
      <c r="E142" s="2">
        <v>10</v>
      </c>
      <c r="F142" s="3">
        <v>2</v>
      </c>
      <c r="G142" s="2">
        <v>49</v>
      </c>
      <c r="H142" s="8">
        <v>4</v>
      </c>
      <c r="J142" s="4">
        <v>4</v>
      </c>
      <c r="K142" s="2" t="str">
        <f t="shared" si="1"/>
        <v>resp-correct</v>
      </c>
      <c r="L142" s="2" t="s">
        <v>47</v>
      </c>
    </row>
    <row r="143" spans="1:12" x14ac:dyDescent="0.2">
      <c r="A143" s="2" t="s">
        <v>5</v>
      </c>
      <c r="B143" s="2" t="s">
        <v>153</v>
      </c>
      <c r="C143" s="2" t="s">
        <v>6</v>
      </c>
      <c r="D143" s="2" t="s">
        <v>947</v>
      </c>
      <c r="E143" s="2">
        <v>10</v>
      </c>
      <c r="F143" s="3">
        <v>3</v>
      </c>
      <c r="G143" s="2">
        <v>50</v>
      </c>
      <c r="H143" s="8">
        <v>4</v>
      </c>
      <c r="J143" s="4">
        <v>4</v>
      </c>
      <c r="K143" s="2" t="str">
        <f t="shared" ref="K143:K145" si="2">IF(H143=J143,"resp-correct","resp-inc")</f>
        <v>resp-correct</v>
      </c>
      <c r="L143" s="2" t="s">
        <v>50</v>
      </c>
    </row>
    <row r="144" spans="1:12" x14ac:dyDescent="0.2">
      <c r="A144" s="2" t="s">
        <v>5</v>
      </c>
      <c r="B144" s="2" t="s">
        <v>153</v>
      </c>
      <c r="C144" s="2" t="s">
        <v>6</v>
      </c>
      <c r="D144" s="2" t="s">
        <v>948</v>
      </c>
      <c r="E144" s="2">
        <v>10</v>
      </c>
      <c r="F144" s="3">
        <v>4</v>
      </c>
      <c r="G144" s="2">
        <v>51</v>
      </c>
      <c r="H144" s="8">
        <v>4</v>
      </c>
      <c r="J144" s="4">
        <v>1</v>
      </c>
      <c r="K144" s="2" t="str">
        <f t="shared" si="2"/>
        <v>resp-inc</v>
      </c>
      <c r="L144" s="2" t="s">
        <v>50</v>
      </c>
    </row>
    <row r="145" spans="1:12" x14ac:dyDescent="0.2">
      <c r="A145" s="2" t="s">
        <v>5</v>
      </c>
      <c r="B145" s="2" t="s">
        <v>153</v>
      </c>
      <c r="C145" s="2" t="s">
        <v>6</v>
      </c>
      <c r="D145" s="2" t="s">
        <v>949</v>
      </c>
      <c r="E145" s="2">
        <v>10</v>
      </c>
      <c r="F145" s="3">
        <v>5</v>
      </c>
      <c r="G145" s="2">
        <v>52</v>
      </c>
      <c r="H145" s="8">
        <v>4</v>
      </c>
      <c r="J145" s="4">
        <v>2</v>
      </c>
      <c r="K145" s="2" t="str">
        <f t="shared" si="2"/>
        <v>resp-inc</v>
      </c>
      <c r="L145" s="2" t="s">
        <v>131</v>
      </c>
    </row>
  </sheetData>
  <pageMargins left="0.7" right="0.7" top="0.75" bottom="0.75" header="0.3" footer="0.3"/>
  <pageSetup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145"/>
  <sheetViews>
    <sheetView topLeftCell="A118" workbookViewId="0">
      <selection activeCell="C145" sqref="C145"/>
    </sheetView>
  </sheetViews>
  <sheetFormatPr defaultColWidth="48.85546875" defaultRowHeight="11.25" x14ac:dyDescent="0.2"/>
  <cols>
    <col min="1" max="1" width="8.7109375" style="9" customWidth="1" collapsed="1"/>
    <col min="2" max="2" width="5.5703125" style="9" customWidth="1" collapsed="1"/>
    <col min="3" max="3" width="48.85546875" style="9" collapsed="1"/>
    <col min="4" max="4" width="7.5703125" style="9" customWidth="1" collapsed="1"/>
    <col min="5" max="16384" width="48.85546875" style="9" collapsed="1"/>
  </cols>
  <sheetData>
    <row r="1" spans="1:10" s="10" customFormat="1" ht="22.5" x14ac:dyDescent="0.2">
      <c r="A1" s="10" t="s">
        <v>2</v>
      </c>
      <c r="B1" s="10" t="s">
        <v>66</v>
      </c>
      <c r="C1" s="10" t="s">
        <v>82</v>
      </c>
      <c r="D1" s="10" t="s">
        <v>0</v>
      </c>
      <c r="E1" s="10" t="s">
        <v>1</v>
      </c>
      <c r="F1" s="10" t="s">
        <v>83</v>
      </c>
      <c r="G1" s="10" t="s">
        <v>84</v>
      </c>
      <c r="H1" s="10" t="s">
        <v>85</v>
      </c>
      <c r="I1" s="10" t="s">
        <v>86</v>
      </c>
      <c r="J1" s="10" t="s">
        <v>87</v>
      </c>
    </row>
    <row r="2" spans="1:10" x14ac:dyDescent="0.2">
      <c r="A2" s="2" t="s">
        <v>3</v>
      </c>
      <c r="B2" s="4">
        <v>1</v>
      </c>
      <c r="E2" s="2" t="s">
        <v>155</v>
      </c>
      <c r="F2" s="2" t="s">
        <v>138</v>
      </c>
      <c r="G2" s="2" t="s">
        <v>115</v>
      </c>
      <c r="H2" s="2" t="s">
        <v>116</v>
      </c>
      <c r="I2" s="2" t="s">
        <v>142</v>
      </c>
    </row>
    <row r="3" spans="1:10" x14ac:dyDescent="0.2">
      <c r="A3" s="2" t="s">
        <v>3</v>
      </c>
      <c r="B3" s="4">
        <v>2</v>
      </c>
      <c r="E3" s="2" t="s">
        <v>156</v>
      </c>
      <c r="F3" s="2" t="s">
        <v>96</v>
      </c>
      <c r="G3" s="2" t="s">
        <v>97</v>
      </c>
      <c r="H3" s="2" t="s">
        <v>95</v>
      </c>
      <c r="I3" s="2" t="s">
        <v>98</v>
      </c>
    </row>
    <row r="4" spans="1:10" x14ac:dyDescent="0.2">
      <c r="A4" s="2" t="s">
        <v>3</v>
      </c>
      <c r="B4" s="4">
        <v>3</v>
      </c>
      <c r="E4" s="2" t="s">
        <v>157</v>
      </c>
      <c r="F4" s="2" t="s">
        <v>158</v>
      </c>
      <c r="G4" s="2" t="s">
        <v>159</v>
      </c>
      <c r="H4" s="2" t="s">
        <v>160</v>
      </c>
      <c r="I4" s="2" t="s">
        <v>161</v>
      </c>
    </row>
    <row r="5" spans="1:10" x14ac:dyDescent="0.2">
      <c r="A5" s="2" t="s">
        <v>3</v>
      </c>
      <c r="B5" s="4">
        <v>4</v>
      </c>
      <c r="E5" s="2" t="s">
        <v>162</v>
      </c>
      <c r="F5" s="2" t="s">
        <v>163</v>
      </c>
      <c r="G5" s="2" t="s">
        <v>164</v>
      </c>
      <c r="H5" s="2" t="s">
        <v>165</v>
      </c>
      <c r="I5" s="2" t="s">
        <v>166</v>
      </c>
    </row>
    <row r="6" spans="1:10" x14ac:dyDescent="0.2">
      <c r="A6" s="2" t="s">
        <v>3</v>
      </c>
      <c r="B6" s="4">
        <v>5</v>
      </c>
      <c r="E6" s="2" t="s">
        <v>167</v>
      </c>
      <c r="F6" s="2" t="s">
        <v>148</v>
      </c>
      <c r="G6" s="2" t="s">
        <v>168</v>
      </c>
      <c r="H6" s="2" t="s">
        <v>169</v>
      </c>
      <c r="I6" s="2" t="s">
        <v>139</v>
      </c>
    </row>
    <row r="7" spans="1:10" x14ac:dyDescent="0.2">
      <c r="A7" s="2" t="s">
        <v>3</v>
      </c>
      <c r="B7" s="4">
        <v>6</v>
      </c>
      <c r="C7" s="2" t="s">
        <v>175</v>
      </c>
      <c r="E7" s="2" t="s">
        <v>170</v>
      </c>
      <c r="F7" s="2" t="s">
        <v>171</v>
      </c>
      <c r="G7" s="2" t="s">
        <v>172</v>
      </c>
      <c r="H7" s="2" t="s">
        <v>173</v>
      </c>
      <c r="I7" s="2" t="s">
        <v>174</v>
      </c>
    </row>
    <row r="8" spans="1:10" x14ac:dyDescent="0.2">
      <c r="A8" s="2" t="s">
        <v>3</v>
      </c>
      <c r="B8" s="4">
        <v>7</v>
      </c>
      <c r="E8" s="2" t="s">
        <v>176</v>
      </c>
      <c r="F8" s="2" t="s">
        <v>177</v>
      </c>
      <c r="G8" s="2" t="s">
        <v>178</v>
      </c>
      <c r="H8" s="2" t="s">
        <v>179</v>
      </c>
      <c r="I8" s="2" t="s">
        <v>180</v>
      </c>
    </row>
    <row r="9" spans="1:10" x14ac:dyDescent="0.2">
      <c r="A9" s="2" t="s">
        <v>3</v>
      </c>
      <c r="B9" s="4">
        <v>8</v>
      </c>
      <c r="E9" s="2" t="s">
        <v>181</v>
      </c>
      <c r="F9" s="2" t="s">
        <v>182</v>
      </c>
      <c r="G9" s="2" t="s">
        <v>183</v>
      </c>
      <c r="H9" s="2" t="s">
        <v>184</v>
      </c>
      <c r="I9" s="2" t="s">
        <v>185</v>
      </c>
    </row>
    <row r="10" spans="1:10" x14ac:dyDescent="0.2">
      <c r="A10" s="2" t="s">
        <v>3</v>
      </c>
      <c r="B10" s="4">
        <v>9</v>
      </c>
      <c r="E10" s="2" t="s">
        <v>186</v>
      </c>
      <c r="F10" s="2" t="s">
        <v>187</v>
      </c>
      <c r="G10" s="2" t="s">
        <v>188</v>
      </c>
      <c r="H10" s="2" t="s">
        <v>189</v>
      </c>
      <c r="I10" s="2" t="s">
        <v>190</v>
      </c>
    </row>
    <row r="11" spans="1:10" x14ac:dyDescent="0.2">
      <c r="A11" s="2" t="s">
        <v>3</v>
      </c>
      <c r="B11" s="4">
        <v>10</v>
      </c>
      <c r="E11" s="2" t="s">
        <v>191</v>
      </c>
      <c r="F11" s="2" t="s">
        <v>126</v>
      </c>
      <c r="G11" s="2" t="s">
        <v>192</v>
      </c>
      <c r="H11" s="2" t="s">
        <v>193</v>
      </c>
      <c r="I11" s="2" t="s">
        <v>194</v>
      </c>
    </row>
    <row r="12" spans="1:10" x14ac:dyDescent="0.2">
      <c r="A12" s="2" t="s">
        <v>3</v>
      </c>
      <c r="B12" s="4">
        <v>11</v>
      </c>
      <c r="C12" s="2" t="s">
        <v>200</v>
      </c>
      <c r="E12" s="2" t="s">
        <v>195</v>
      </c>
      <c r="F12" s="2" t="s">
        <v>196</v>
      </c>
      <c r="G12" s="2" t="s">
        <v>197</v>
      </c>
      <c r="H12" s="2" t="s">
        <v>198</v>
      </c>
      <c r="I12" s="2" t="s">
        <v>199</v>
      </c>
    </row>
    <row r="13" spans="1:10" x14ac:dyDescent="0.2">
      <c r="A13" s="2" t="s">
        <v>3</v>
      </c>
      <c r="B13" s="4">
        <v>12</v>
      </c>
      <c r="E13" s="2" t="s">
        <v>201</v>
      </c>
      <c r="F13" s="2" t="s">
        <v>95</v>
      </c>
      <c r="G13" s="2" t="s">
        <v>96</v>
      </c>
      <c r="H13" s="2" t="s">
        <v>97</v>
      </c>
      <c r="I13" s="2" t="s">
        <v>98</v>
      </c>
    </row>
    <row r="14" spans="1:10" x14ac:dyDescent="0.2">
      <c r="A14" s="2" t="s">
        <v>3</v>
      </c>
      <c r="B14" s="4">
        <v>13</v>
      </c>
      <c r="E14" s="2" t="s">
        <v>202</v>
      </c>
      <c r="F14" s="2" t="s">
        <v>203</v>
      </c>
      <c r="G14" s="2" t="s">
        <v>204</v>
      </c>
      <c r="H14" s="2" t="s">
        <v>205</v>
      </c>
      <c r="I14" s="2" t="s">
        <v>206</v>
      </c>
    </row>
    <row r="15" spans="1:10" x14ac:dyDescent="0.2">
      <c r="A15" s="2" t="s">
        <v>3</v>
      </c>
      <c r="B15" s="4">
        <v>14</v>
      </c>
      <c r="E15" s="2" t="s">
        <v>207</v>
      </c>
      <c r="F15" s="2" t="s">
        <v>101</v>
      </c>
      <c r="G15" s="2" t="s">
        <v>124</v>
      </c>
      <c r="H15" s="2" t="s">
        <v>123</v>
      </c>
      <c r="I15" s="2" t="s">
        <v>104</v>
      </c>
    </row>
    <row r="16" spans="1:10" x14ac:dyDescent="0.2">
      <c r="A16" s="2" t="s">
        <v>3</v>
      </c>
      <c r="B16" s="4">
        <v>15</v>
      </c>
      <c r="C16" s="2" t="s">
        <v>103</v>
      </c>
      <c r="E16" s="2" t="s">
        <v>208</v>
      </c>
      <c r="F16" s="2" t="s">
        <v>209</v>
      </c>
      <c r="G16" s="2" t="s">
        <v>210</v>
      </c>
      <c r="H16" s="2" t="s">
        <v>211</v>
      </c>
      <c r="I16" s="2" t="s">
        <v>212</v>
      </c>
    </row>
    <row r="17" spans="1:9" x14ac:dyDescent="0.2">
      <c r="A17" s="2" t="s">
        <v>3</v>
      </c>
      <c r="B17" s="4">
        <v>16</v>
      </c>
      <c r="E17" s="2" t="s">
        <v>213</v>
      </c>
      <c r="F17" s="2" t="s">
        <v>214</v>
      </c>
      <c r="G17" s="2" t="s">
        <v>215</v>
      </c>
      <c r="H17" s="2" t="s">
        <v>216</v>
      </c>
      <c r="I17" s="2" t="s">
        <v>217</v>
      </c>
    </row>
    <row r="18" spans="1:9" x14ac:dyDescent="0.2">
      <c r="A18" s="2" t="s">
        <v>3</v>
      </c>
      <c r="B18" s="4">
        <v>17</v>
      </c>
      <c r="E18" s="2" t="s">
        <v>218</v>
      </c>
      <c r="F18" s="2" t="s">
        <v>219</v>
      </c>
      <c r="G18" s="2" t="s">
        <v>220</v>
      </c>
      <c r="H18" s="2" t="s">
        <v>221</v>
      </c>
      <c r="I18" s="2" t="s">
        <v>222</v>
      </c>
    </row>
    <row r="19" spans="1:9" x14ac:dyDescent="0.2">
      <c r="A19" s="2" t="s">
        <v>3</v>
      </c>
      <c r="B19" s="4">
        <v>18</v>
      </c>
      <c r="E19" s="2" t="s">
        <v>223</v>
      </c>
      <c r="F19" s="2" t="s">
        <v>224</v>
      </c>
      <c r="G19" s="2" t="s">
        <v>225</v>
      </c>
      <c r="H19" s="2" t="s">
        <v>226</v>
      </c>
      <c r="I19" s="2" t="s">
        <v>227</v>
      </c>
    </row>
    <row r="20" spans="1:9" x14ac:dyDescent="0.2">
      <c r="A20" s="2" t="s">
        <v>3</v>
      </c>
      <c r="B20" s="4">
        <v>19</v>
      </c>
      <c r="C20" s="2" t="s">
        <v>233</v>
      </c>
      <c r="E20" s="2" t="s">
        <v>228</v>
      </c>
      <c r="F20" s="2" t="s">
        <v>229</v>
      </c>
      <c r="G20" s="2" t="s">
        <v>230</v>
      </c>
      <c r="H20" s="2" t="s">
        <v>231</v>
      </c>
      <c r="I20" s="2" t="s">
        <v>232</v>
      </c>
    </row>
    <row r="21" spans="1:9" x14ac:dyDescent="0.2">
      <c r="A21" s="2" t="s">
        <v>3</v>
      </c>
      <c r="B21" s="4">
        <v>20</v>
      </c>
      <c r="E21" s="2" t="s">
        <v>234</v>
      </c>
      <c r="F21" s="2" t="s">
        <v>235</v>
      </c>
      <c r="G21" s="2" t="s">
        <v>236</v>
      </c>
      <c r="H21" s="2" t="s">
        <v>237</v>
      </c>
      <c r="I21" s="2" t="s">
        <v>238</v>
      </c>
    </row>
    <row r="22" spans="1:9" x14ac:dyDescent="0.2">
      <c r="A22" s="2" t="s">
        <v>3</v>
      </c>
      <c r="B22" s="4">
        <v>21</v>
      </c>
      <c r="E22" s="2" t="s">
        <v>239</v>
      </c>
      <c r="F22" s="2" t="s">
        <v>100</v>
      </c>
      <c r="G22" s="2" t="s">
        <v>101</v>
      </c>
      <c r="H22" s="2" t="s">
        <v>97</v>
      </c>
      <c r="I22" s="2" t="s">
        <v>96</v>
      </c>
    </row>
    <row r="23" spans="1:9" x14ac:dyDescent="0.2">
      <c r="A23" s="2" t="s">
        <v>3</v>
      </c>
      <c r="B23" s="4">
        <v>22</v>
      </c>
      <c r="E23" s="2" t="s">
        <v>240</v>
      </c>
      <c r="F23" s="2" t="s">
        <v>241</v>
      </c>
      <c r="G23" s="2" t="s">
        <v>242</v>
      </c>
      <c r="H23" s="2" t="s">
        <v>243</v>
      </c>
      <c r="I23" s="2" t="s">
        <v>244</v>
      </c>
    </row>
    <row r="24" spans="1:9" x14ac:dyDescent="0.2">
      <c r="A24" s="2" t="s">
        <v>3</v>
      </c>
      <c r="B24" s="4">
        <v>23</v>
      </c>
      <c r="E24" s="2" t="s">
        <v>245</v>
      </c>
      <c r="F24" s="2" t="s">
        <v>246</v>
      </c>
      <c r="G24" s="2" t="s">
        <v>247</v>
      </c>
      <c r="H24" s="2" t="s">
        <v>248</v>
      </c>
      <c r="I24" s="2" t="s">
        <v>249</v>
      </c>
    </row>
    <row r="25" spans="1:9" x14ac:dyDescent="0.2">
      <c r="A25" s="2" t="s">
        <v>3</v>
      </c>
      <c r="B25" s="4">
        <v>24</v>
      </c>
      <c r="E25" s="2" t="s">
        <v>250</v>
      </c>
      <c r="F25" s="2" t="s">
        <v>251</v>
      </c>
      <c r="G25" s="2" t="s">
        <v>252</v>
      </c>
      <c r="H25" s="2" t="s">
        <v>253</v>
      </c>
      <c r="I25" s="2" t="s">
        <v>254</v>
      </c>
    </row>
    <row r="26" spans="1:9" x14ac:dyDescent="0.2">
      <c r="A26" s="2" t="s">
        <v>3</v>
      </c>
      <c r="B26" s="4">
        <v>25</v>
      </c>
      <c r="C26" s="2" t="s">
        <v>260</v>
      </c>
      <c r="E26" s="2" t="s">
        <v>255</v>
      </c>
      <c r="F26" s="2" t="s">
        <v>256</v>
      </c>
      <c r="G26" s="2" t="s">
        <v>257</v>
      </c>
      <c r="H26" s="2" t="s">
        <v>258</v>
      </c>
      <c r="I26" s="2" t="s">
        <v>259</v>
      </c>
    </row>
    <row r="27" spans="1:9" x14ac:dyDescent="0.2">
      <c r="A27" s="2" t="s">
        <v>3</v>
      </c>
      <c r="B27" s="4">
        <v>26</v>
      </c>
      <c r="E27" s="2" t="s">
        <v>261</v>
      </c>
      <c r="F27" s="2" t="s">
        <v>262</v>
      </c>
      <c r="G27" s="2" t="s">
        <v>263</v>
      </c>
      <c r="H27" s="2" t="s">
        <v>264</v>
      </c>
      <c r="I27" s="2" t="s">
        <v>265</v>
      </c>
    </row>
    <row r="28" spans="1:9" x14ac:dyDescent="0.2">
      <c r="A28" s="2" t="s">
        <v>3</v>
      </c>
      <c r="B28" s="4">
        <v>27</v>
      </c>
      <c r="E28" s="2" t="s">
        <v>266</v>
      </c>
      <c r="F28" s="2" t="s">
        <v>267</v>
      </c>
      <c r="G28" s="2" t="s">
        <v>99</v>
      </c>
      <c r="H28" s="2" t="s">
        <v>99</v>
      </c>
      <c r="I28" s="2" t="s">
        <v>99</v>
      </c>
    </row>
    <row r="29" spans="1:9" x14ac:dyDescent="0.2">
      <c r="A29" s="2" t="s">
        <v>3</v>
      </c>
      <c r="B29" s="4">
        <v>28</v>
      </c>
      <c r="E29" s="2" t="s">
        <v>268</v>
      </c>
      <c r="F29" s="2" t="s">
        <v>269</v>
      </c>
      <c r="G29" s="2" t="s">
        <v>270</v>
      </c>
      <c r="H29" s="2" t="s">
        <v>271</v>
      </c>
      <c r="I29" s="2" t="s">
        <v>272</v>
      </c>
    </row>
    <row r="30" spans="1:9" x14ac:dyDescent="0.2">
      <c r="A30" s="2" t="s">
        <v>3</v>
      </c>
      <c r="B30" s="4">
        <v>29</v>
      </c>
      <c r="C30" s="2" t="s">
        <v>103</v>
      </c>
      <c r="E30" s="2" t="s">
        <v>273</v>
      </c>
      <c r="F30" s="2" t="s">
        <v>274</v>
      </c>
      <c r="G30" s="2" t="s">
        <v>275</v>
      </c>
      <c r="H30" s="2" t="s">
        <v>276</v>
      </c>
      <c r="I30" s="2" t="s">
        <v>277</v>
      </c>
    </row>
    <row r="31" spans="1:9" x14ac:dyDescent="0.2">
      <c r="A31" s="2" t="s">
        <v>3</v>
      </c>
      <c r="B31" s="4">
        <v>30</v>
      </c>
      <c r="E31" s="2" t="s">
        <v>278</v>
      </c>
      <c r="F31" s="2" t="s">
        <v>279</v>
      </c>
      <c r="G31" s="2" t="s">
        <v>280</v>
      </c>
      <c r="H31" s="2" t="s">
        <v>281</v>
      </c>
      <c r="I31" s="2" t="s">
        <v>282</v>
      </c>
    </row>
    <row r="32" spans="1:9" x14ac:dyDescent="0.2">
      <c r="A32" s="2" t="s">
        <v>3</v>
      </c>
      <c r="B32" s="4">
        <v>31</v>
      </c>
      <c r="E32" s="2" t="s">
        <v>283</v>
      </c>
      <c r="F32" s="2" t="s">
        <v>284</v>
      </c>
      <c r="G32" s="2" t="s">
        <v>285</v>
      </c>
      <c r="H32" s="2" t="s">
        <v>286</v>
      </c>
      <c r="I32" s="2" t="s">
        <v>287</v>
      </c>
    </row>
    <row r="33" spans="1:9" x14ac:dyDescent="0.2">
      <c r="A33" s="2" t="s">
        <v>3</v>
      </c>
      <c r="B33" s="4">
        <v>32</v>
      </c>
      <c r="E33" s="2" t="s">
        <v>288</v>
      </c>
      <c r="F33" s="2" t="s">
        <v>289</v>
      </c>
      <c r="G33" s="2" t="s">
        <v>290</v>
      </c>
      <c r="H33" s="2" t="s">
        <v>291</v>
      </c>
      <c r="I33" s="2" t="s">
        <v>292</v>
      </c>
    </row>
    <row r="34" spans="1:9" x14ac:dyDescent="0.2">
      <c r="A34" s="2" t="s">
        <v>3</v>
      </c>
      <c r="B34" s="4">
        <v>33</v>
      </c>
      <c r="E34" s="2" t="s">
        <v>293</v>
      </c>
      <c r="F34" s="2" t="s">
        <v>247</v>
      </c>
      <c r="G34" s="2" t="s">
        <v>246</v>
      </c>
      <c r="H34" s="2" t="s">
        <v>294</v>
      </c>
      <c r="I34" s="2" t="s">
        <v>295</v>
      </c>
    </row>
    <row r="35" spans="1:9" x14ac:dyDescent="0.2">
      <c r="A35" s="2" t="s">
        <v>3</v>
      </c>
      <c r="B35" s="4">
        <v>34</v>
      </c>
      <c r="E35" s="2" t="s">
        <v>296</v>
      </c>
      <c r="F35" s="2" t="s">
        <v>117</v>
      </c>
      <c r="G35" s="2" t="s">
        <v>118</v>
      </c>
      <c r="H35" s="2" t="s">
        <v>119</v>
      </c>
      <c r="I35" s="2" t="s">
        <v>120</v>
      </c>
    </row>
    <row r="36" spans="1:9" x14ac:dyDescent="0.2">
      <c r="A36" s="2" t="s">
        <v>3</v>
      </c>
      <c r="B36" s="4">
        <v>35</v>
      </c>
      <c r="C36" s="2" t="s">
        <v>302</v>
      </c>
      <c r="E36" s="2" t="s">
        <v>297</v>
      </c>
      <c r="F36" s="2" t="s">
        <v>298</v>
      </c>
      <c r="G36" s="2" t="s">
        <v>299</v>
      </c>
      <c r="H36" s="2" t="s">
        <v>300</v>
      </c>
      <c r="I36" s="2" t="s">
        <v>301</v>
      </c>
    </row>
    <row r="37" spans="1:9" x14ac:dyDescent="0.2">
      <c r="A37" s="2" t="s">
        <v>3</v>
      </c>
      <c r="B37" s="4">
        <v>36</v>
      </c>
      <c r="E37" s="2" t="s">
        <v>303</v>
      </c>
      <c r="F37" s="2" t="s">
        <v>304</v>
      </c>
      <c r="G37" s="2" t="s">
        <v>305</v>
      </c>
      <c r="H37" s="2" t="s">
        <v>306</v>
      </c>
      <c r="I37" s="2" t="s">
        <v>307</v>
      </c>
    </row>
    <row r="38" spans="1:9" x14ac:dyDescent="0.2">
      <c r="A38" s="2" t="s">
        <v>3</v>
      </c>
      <c r="B38" s="4">
        <v>37</v>
      </c>
      <c r="E38" s="2" t="s">
        <v>308</v>
      </c>
      <c r="F38" s="2" t="s">
        <v>145</v>
      </c>
      <c r="G38" s="2" t="s">
        <v>143</v>
      </c>
      <c r="H38" s="2" t="s">
        <v>144</v>
      </c>
      <c r="I38" s="2" t="s">
        <v>309</v>
      </c>
    </row>
    <row r="39" spans="1:9" x14ac:dyDescent="0.2">
      <c r="A39" s="2" t="s">
        <v>3</v>
      </c>
      <c r="B39" s="4">
        <v>38</v>
      </c>
      <c r="E39" s="2" t="s">
        <v>310</v>
      </c>
      <c r="F39" s="2" t="s">
        <v>311</v>
      </c>
      <c r="G39" s="2" t="s">
        <v>312</v>
      </c>
      <c r="H39" s="2" t="s">
        <v>313</v>
      </c>
      <c r="I39" s="2" t="s">
        <v>314</v>
      </c>
    </row>
    <row r="40" spans="1:9" x14ac:dyDescent="0.2">
      <c r="A40" s="2" t="s">
        <v>3</v>
      </c>
      <c r="B40" s="4">
        <v>39</v>
      </c>
      <c r="E40" s="2" t="s">
        <v>315</v>
      </c>
      <c r="F40" s="2" t="s">
        <v>316</v>
      </c>
      <c r="G40" s="2" t="s">
        <v>317</v>
      </c>
      <c r="H40" s="2" t="s">
        <v>318</v>
      </c>
      <c r="I40" s="2" t="s">
        <v>319</v>
      </c>
    </row>
    <row r="41" spans="1:9" x14ac:dyDescent="0.2">
      <c r="A41" s="2" t="s">
        <v>3</v>
      </c>
      <c r="B41" s="4">
        <v>40</v>
      </c>
      <c r="E41" s="2" t="s">
        <v>320</v>
      </c>
      <c r="F41" s="2" t="s">
        <v>321</v>
      </c>
      <c r="G41" s="2" t="s">
        <v>322</v>
      </c>
      <c r="H41" s="2" t="s">
        <v>323</v>
      </c>
      <c r="I41" s="2" t="s">
        <v>324</v>
      </c>
    </row>
    <row r="42" spans="1:9" x14ac:dyDescent="0.2">
      <c r="A42" s="2" t="s">
        <v>3</v>
      </c>
      <c r="B42" s="4">
        <v>41</v>
      </c>
      <c r="C42" s="2" t="s">
        <v>330</v>
      </c>
      <c r="E42" s="2" t="s">
        <v>325</v>
      </c>
      <c r="F42" s="2" t="s">
        <v>326</v>
      </c>
      <c r="G42" s="2" t="s">
        <v>327</v>
      </c>
      <c r="H42" s="2" t="s">
        <v>328</v>
      </c>
      <c r="I42" s="2" t="s">
        <v>329</v>
      </c>
    </row>
    <row r="43" spans="1:9" x14ac:dyDescent="0.2">
      <c r="A43" s="2" t="s">
        <v>3</v>
      </c>
      <c r="B43" s="4">
        <v>42</v>
      </c>
      <c r="E43" s="2" t="s">
        <v>331</v>
      </c>
      <c r="F43" s="2" t="s">
        <v>332</v>
      </c>
      <c r="G43" s="2" t="s">
        <v>333</v>
      </c>
      <c r="H43" s="2" t="s">
        <v>334</v>
      </c>
      <c r="I43" s="2" t="s">
        <v>335</v>
      </c>
    </row>
    <row r="44" spans="1:9" x14ac:dyDescent="0.2">
      <c r="A44" s="2" t="s">
        <v>3</v>
      </c>
      <c r="B44" s="4">
        <v>43</v>
      </c>
      <c r="E44" s="2" t="s">
        <v>336</v>
      </c>
      <c r="F44" s="2" t="s">
        <v>337</v>
      </c>
      <c r="G44" s="2" t="s">
        <v>338</v>
      </c>
      <c r="H44" s="2" t="s">
        <v>339</v>
      </c>
      <c r="I44" s="2" t="s">
        <v>340</v>
      </c>
    </row>
    <row r="45" spans="1:9" x14ac:dyDescent="0.2">
      <c r="A45" s="2" t="s">
        <v>3</v>
      </c>
      <c r="B45" s="4">
        <v>44</v>
      </c>
      <c r="E45" s="2" t="s">
        <v>341</v>
      </c>
      <c r="F45" s="2" t="s">
        <v>342</v>
      </c>
      <c r="G45" s="2" t="s">
        <v>343</v>
      </c>
      <c r="H45" s="2" t="s">
        <v>344</v>
      </c>
      <c r="I45" s="2" t="s">
        <v>345</v>
      </c>
    </row>
    <row r="46" spans="1:9" x14ac:dyDescent="0.2">
      <c r="A46" s="2" t="s">
        <v>3</v>
      </c>
      <c r="B46" s="4">
        <v>45</v>
      </c>
      <c r="E46" s="2" t="s">
        <v>346</v>
      </c>
      <c r="F46" s="2" t="s">
        <v>347</v>
      </c>
      <c r="G46" s="2" t="s">
        <v>348</v>
      </c>
      <c r="H46" s="2" t="s">
        <v>349</v>
      </c>
      <c r="I46" s="2" t="s">
        <v>350</v>
      </c>
    </row>
    <row r="47" spans="1:9" x14ac:dyDescent="0.2">
      <c r="A47" s="2" t="s">
        <v>3</v>
      </c>
      <c r="B47" s="4">
        <v>46</v>
      </c>
      <c r="E47" s="2" t="s">
        <v>351</v>
      </c>
      <c r="F47" s="2" t="s">
        <v>352</v>
      </c>
      <c r="G47" s="2" t="s">
        <v>353</v>
      </c>
      <c r="H47" s="2" t="s">
        <v>354</v>
      </c>
      <c r="I47" s="2" t="s">
        <v>355</v>
      </c>
    </row>
    <row r="48" spans="1:9" x14ac:dyDescent="0.2">
      <c r="A48" s="2" t="s">
        <v>3</v>
      </c>
      <c r="B48" s="4">
        <v>47</v>
      </c>
      <c r="C48" s="2" t="s">
        <v>359</v>
      </c>
      <c r="E48" s="2" t="s">
        <v>356</v>
      </c>
      <c r="F48" s="2" t="s">
        <v>146</v>
      </c>
      <c r="G48" s="2" t="s">
        <v>147</v>
      </c>
      <c r="H48" s="2" t="s">
        <v>357</v>
      </c>
      <c r="I48" s="2" t="s">
        <v>358</v>
      </c>
    </row>
    <row r="49" spans="1:9" x14ac:dyDescent="0.2">
      <c r="A49" s="2" t="s">
        <v>3</v>
      </c>
      <c r="B49" s="4">
        <v>48</v>
      </c>
      <c r="E49" s="2" t="s">
        <v>360</v>
      </c>
      <c r="F49" s="2" t="s">
        <v>361</v>
      </c>
      <c r="G49" s="2" t="s">
        <v>362</v>
      </c>
      <c r="H49" s="2" t="s">
        <v>363</v>
      </c>
      <c r="I49" s="2" t="s">
        <v>364</v>
      </c>
    </row>
    <row r="50" spans="1:9" x14ac:dyDescent="0.2">
      <c r="A50" s="2" t="s">
        <v>3</v>
      </c>
      <c r="B50" s="4">
        <v>49</v>
      </c>
      <c r="E50" s="2" t="s">
        <v>365</v>
      </c>
      <c r="F50" s="2" t="s">
        <v>366</v>
      </c>
      <c r="G50" s="2" t="s">
        <v>367</v>
      </c>
      <c r="H50" s="2" t="s">
        <v>368</v>
      </c>
      <c r="I50" s="2" t="s">
        <v>369</v>
      </c>
    </row>
    <row r="51" spans="1:9" x14ac:dyDescent="0.2">
      <c r="A51" s="2" t="s">
        <v>3</v>
      </c>
      <c r="B51" s="4">
        <v>50</v>
      </c>
      <c r="E51" s="2" t="s">
        <v>370</v>
      </c>
      <c r="F51" s="2" t="s">
        <v>371</v>
      </c>
      <c r="G51" s="2" t="s">
        <v>372</v>
      </c>
      <c r="H51" s="2" t="s">
        <v>373</v>
      </c>
      <c r="I51" s="2" t="s">
        <v>374</v>
      </c>
    </row>
    <row r="52" spans="1:9" x14ac:dyDescent="0.2">
      <c r="A52" s="2" t="s">
        <v>3</v>
      </c>
      <c r="B52" s="4">
        <v>51</v>
      </c>
      <c r="E52" s="2" t="s">
        <v>375</v>
      </c>
      <c r="F52" s="2" t="s">
        <v>138</v>
      </c>
      <c r="G52" s="2" t="s">
        <v>99</v>
      </c>
      <c r="H52" s="2" t="s">
        <v>376</v>
      </c>
      <c r="I52" s="2" t="s">
        <v>99</v>
      </c>
    </row>
    <row r="53" spans="1:9" x14ac:dyDescent="0.2">
      <c r="A53" s="2" t="s">
        <v>3</v>
      </c>
      <c r="B53" s="4">
        <v>52</v>
      </c>
      <c r="C53" s="2" t="s">
        <v>103</v>
      </c>
      <c r="E53" s="2" t="s">
        <v>377</v>
      </c>
      <c r="F53" s="2" t="s">
        <v>121</v>
      </c>
      <c r="G53" s="2" t="s">
        <v>378</v>
      </c>
      <c r="H53" s="2" t="s">
        <v>122</v>
      </c>
      <c r="I53" s="2" t="s">
        <v>379</v>
      </c>
    </row>
    <row r="54" spans="1:9" x14ac:dyDescent="0.2">
      <c r="A54" s="2" t="s">
        <v>4</v>
      </c>
      <c r="B54" s="4">
        <v>1</v>
      </c>
      <c r="E54" s="2" t="s">
        <v>380</v>
      </c>
      <c r="F54" s="2" t="s">
        <v>381</v>
      </c>
      <c r="G54" s="2" t="s">
        <v>382</v>
      </c>
      <c r="H54" s="2" t="s">
        <v>383</v>
      </c>
      <c r="I54" s="2" t="s">
        <v>384</v>
      </c>
    </row>
    <row r="55" spans="1:9" x14ac:dyDescent="0.2">
      <c r="A55" s="2" t="s">
        <v>4</v>
      </c>
      <c r="B55" s="4">
        <v>2</v>
      </c>
      <c r="E55" s="2" t="s">
        <v>385</v>
      </c>
      <c r="F55" s="2" t="s">
        <v>386</v>
      </c>
      <c r="G55" s="2" t="s">
        <v>387</v>
      </c>
      <c r="H55" s="2" t="s">
        <v>388</v>
      </c>
      <c r="I55" s="2" t="s">
        <v>389</v>
      </c>
    </row>
    <row r="56" spans="1:9" x14ac:dyDescent="0.2">
      <c r="A56" s="2" t="s">
        <v>4</v>
      </c>
      <c r="B56" s="4">
        <v>3</v>
      </c>
      <c r="E56" s="2" t="s">
        <v>390</v>
      </c>
      <c r="F56" s="2" t="s">
        <v>391</v>
      </c>
      <c r="G56" s="2" t="s">
        <v>392</v>
      </c>
      <c r="H56" s="2" t="s">
        <v>393</v>
      </c>
      <c r="I56" s="2" t="s">
        <v>394</v>
      </c>
    </row>
    <row r="57" spans="1:9" x14ac:dyDescent="0.2">
      <c r="A57" s="2" t="s">
        <v>4</v>
      </c>
      <c r="B57" s="4">
        <v>4</v>
      </c>
      <c r="E57" s="2" t="s">
        <v>395</v>
      </c>
      <c r="F57" s="2" t="s">
        <v>396</v>
      </c>
      <c r="G57" s="2" t="s">
        <v>397</v>
      </c>
      <c r="H57" s="2" t="s">
        <v>398</v>
      </c>
      <c r="I57" s="2" t="s">
        <v>399</v>
      </c>
    </row>
    <row r="58" spans="1:9" x14ac:dyDescent="0.2">
      <c r="A58" s="2" t="s">
        <v>4</v>
      </c>
      <c r="B58" s="4">
        <v>5</v>
      </c>
      <c r="E58" s="2" t="s">
        <v>400</v>
      </c>
      <c r="F58" s="2" t="s">
        <v>401</v>
      </c>
      <c r="G58" s="2" t="s">
        <v>402</v>
      </c>
      <c r="H58" s="2" t="s">
        <v>403</v>
      </c>
      <c r="I58" s="2" t="s">
        <v>404</v>
      </c>
    </row>
    <row r="59" spans="1:9" x14ac:dyDescent="0.2">
      <c r="A59" s="2" t="s">
        <v>4</v>
      </c>
      <c r="B59" s="4">
        <v>6</v>
      </c>
      <c r="C59" s="2" t="s">
        <v>410</v>
      </c>
      <c r="E59" s="2" t="s">
        <v>405</v>
      </c>
      <c r="F59" s="2" t="s">
        <v>406</v>
      </c>
      <c r="G59" s="2" t="s">
        <v>407</v>
      </c>
      <c r="H59" s="2" t="s">
        <v>408</v>
      </c>
      <c r="I59" s="2" t="s">
        <v>409</v>
      </c>
    </row>
    <row r="60" spans="1:9" x14ac:dyDescent="0.2">
      <c r="A60" s="2" t="s">
        <v>4</v>
      </c>
      <c r="B60" s="4">
        <v>7</v>
      </c>
      <c r="E60" s="2" t="s">
        <v>411</v>
      </c>
      <c r="F60" s="2" t="s">
        <v>412</v>
      </c>
      <c r="G60" s="2" t="s">
        <v>413</v>
      </c>
      <c r="H60" s="2" t="s">
        <v>414</v>
      </c>
      <c r="I60" s="2" t="s">
        <v>415</v>
      </c>
    </row>
    <row r="61" spans="1:9" x14ac:dyDescent="0.2">
      <c r="A61" s="2" t="s">
        <v>4</v>
      </c>
      <c r="B61" s="4">
        <v>8</v>
      </c>
      <c r="E61" s="2" t="s">
        <v>416</v>
      </c>
      <c r="F61" s="2" t="s">
        <v>417</v>
      </c>
      <c r="G61" s="2" t="s">
        <v>418</v>
      </c>
      <c r="H61" s="2" t="s">
        <v>419</v>
      </c>
      <c r="I61" s="2" t="s">
        <v>420</v>
      </c>
    </row>
    <row r="62" spans="1:9" x14ac:dyDescent="0.2">
      <c r="A62" s="2" t="s">
        <v>4</v>
      </c>
      <c r="B62" s="4">
        <v>9</v>
      </c>
      <c r="E62" s="2" t="s">
        <v>140</v>
      </c>
      <c r="F62" s="2" t="s">
        <v>421</v>
      </c>
      <c r="G62" s="2" t="s">
        <v>422</v>
      </c>
      <c r="H62" s="2" t="s">
        <v>423</v>
      </c>
      <c r="I62" s="2" t="s">
        <v>424</v>
      </c>
    </row>
    <row r="63" spans="1:9" x14ac:dyDescent="0.2">
      <c r="A63" s="2" t="s">
        <v>4</v>
      </c>
      <c r="B63" s="4">
        <v>10</v>
      </c>
      <c r="E63" s="2" t="s">
        <v>425</v>
      </c>
      <c r="F63" s="2" t="s">
        <v>426</v>
      </c>
      <c r="G63" s="2" t="s">
        <v>427</v>
      </c>
      <c r="H63" s="2" t="s">
        <v>428</v>
      </c>
      <c r="I63" s="2" t="s">
        <v>429</v>
      </c>
    </row>
    <row r="64" spans="1:9" x14ac:dyDescent="0.2">
      <c r="A64" s="2" t="s">
        <v>4</v>
      </c>
      <c r="B64" s="4">
        <v>11</v>
      </c>
      <c r="E64" s="2" t="s">
        <v>430</v>
      </c>
      <c r="F64" s="2" t="s">
        <v>431</v>
      </c>
      <c r="G64" s="2" t="s">
        <v>432</v>
      </c>
      <c r="H64" s="2" t="s">
        <v>433</v>
      </c>
      <c r="I64" s="2" t="s">
        <v>434</v>
      </c>
    </row>
    <row r="65" spans="1:9" x14ac:dyDescent="0.2">
      <c r="A65" s="2" t="s">
        <v>4</v>
      </c>
      <c r="B65" s="4">
        <v>12</v>
      </c>
      <c r="C65" s="2" t="s">
        <v>440</v>
      </c>
      <c r="E65" s="2" t="s">
        <v>435</v>
      </c>
      <c r="F65" s="2" t="s">
        <v>436</v>
      </c>
      <c r="G65" s="2" t="s">
        <v>437</v>
      </c>
      <c r="H65" s="2" t="s">
        <v>438</v>
      </c>
      <c r="I65" s="2" t="s">
        <v>439</v>
      </c>
    </row>
    <row r="66" spans="1:9" x14ac:dyDescent="0.2">
      <c r="A66" s="2" t="s">
        <v>4</v>
      </c>
      <c r="B66" s="4">
        <v>13</v>
      </c>
      <c r="E66" s="2" t="s">
        <v>441</v>
      </c>
      <c r="F66" s="2" t="s">
        <v>442</v>
      </c>
      <c r="G66" s="2" t="s">
        <v>443</v>
      </c>
      <c r="H66" s="2" t="s">
        <v>444</v>
      </c>
      <c r="I66" s="2" t="s">
        <v>445</v>
      </c>
    </row>
    <row r="67" spans="1:9" x14ac:dyDescent="0.2">
      <c r="A67" s="2" t="s">
        <v>4</v>
      </c>
      <c r="B67" s="4">
        <v>14</v>
      </c>
      <c r="E67" s="2" t="s">
        <v>446</v>
      </c>
      <c r="F67" s="2" t="s">
        <v>447</v>
      </c>
      <c r="G67" s="2" t="s">
        <v>448</v>
      </c>
      <c r="H67" s="2" t="s">
        <v>449</v>
      </c>
      <c r="I67" s="2" t="s">
        <v>450</v>
      </c>
    </row>
    <row r="68" spans="1:9" x14ac:dyDescent="0.2">
      <c r="A68" s="2" t="s">
        <v>4</v>
      </c>
      <c r="B68" s="4">
        <v>15</v>
      </c>
      <c r="E68" s="2" t="s">
        <v>451</v>
      </c>
      <c r="F68" s="2" t="s">
        <v>452</v>
      </c>
      <c r="G68" s="2" t="s">
        <v>453</v>
      </c>
      <c r="H68" s="2" t="s">
        <v>454</v>
      </c>
      <c r="I68" s="2" t="s">
        <v>455</v>
      </c>
    </row>
    <row r="69" spans="1:9" x14ac:dyDescent="0.2">
      <c r="A69" s="2" t="s">
        <v>4</v>
      </c>
      <c r="B69" s="4">
        <v>16</v>
      </c>
      <c r="E69" s="2" t="s">
        <v>456</v>
      </c>
      <c r="F69" s="2" t="s">
        <v>457</v>
      </c>
      <c r="G69" s="2" t="s">
        <v>458</v>
      </c>
      <c r="H69" s="2" t="s">
        <v>459</v>
      </c>
      <c r="I69" s="2" t="s">
        <v>460</v>
      </c>
    </row>
    <row r="70" spans="1:9" x14ac:dyDescent="0.2">
      <c r="A70" s="2" t="s">
        <v>4</v>
      </c>
      <c r="B70" s="4">
        <v>17</v>
      </c>
      <c r="E70" s="2" t="s">
        <v>461</v>
      </c>
      <c r="F70" s="2" t="s">
        <v>462</v>
      </c>
      <c r="G70" s="2" t="s">
        <v>463</v>
      </c>
      <c r="H70" s="2" t="s">
        <v>464</v>
      </c>
      <c r="I70" s="2" t="s">
        <v>465</v>
      </c>
    </row>
    <row r="71" spans="1:9" x14ac:dyDescent="0.2">
      <c r="A71" s="2" t="s">
        <v>4</v>
      </c>
      <c r="B71" s="4">
        <v>18</v>
      </c>
      <c r="E71" s="2" t="s">
        <v>466</v>
      </c>
      <c r="F71" s="2" t="s">
        <v>467</v>
      </c>
      <c r="G71" s="2" t="s">
        <v>468</v>
      </c>
      <c r="H71" s="2" t="s">
        <v>469</v>
      </c>
      <c r="I71" s="2" t="s">
        <v>470</v>
      </c>
    </row>
    <row r="72" spans="1:9" x14ac:dyDescent="0.2">
      <c r="A72" s="2" t="s">
        <v>4</v>
      </c>
      <c r="B72" s="4">
        <v>19</v>
      </c>
      <c r="C72" s="2" t="s">
        <v>476</v>
      </c>
      <c r="E72" s="2" t="s">
        <v>471</v>
      </c>
      <c r="F72" s="2" t="s">
        <v>472</v>
      </c>
      <c r="G72" s="2" t="s">
        <v>473</v>
      </c>
      <c r="H72" s="2" t="s">
        <v>474</v>
      </c>
      <c r="I72" s="2" t="s">
        <v>475</v>
      </c>
    </row>
    <row r="73" spans="1:9" x14ac:dyDescent="0.2">
      <c r="A73" s="2" t="s">
        <v>4</v>
      </c>
      <c r="B73" s="4">
        <v>20</v>
      </c>
      <c r="E73" s="2" t="s">
        <v>477</v>
      </c>
      <c r="F73" s="2" t="s">
        <v>478</v>
      </c>
      <c r="G73" s="2" t="s">
        <v>479</v>
      </c>
      <c r="H73" s="2" t="s">
        <v>480</v>
      </c>
      <c r="I73" s="2" t="s">
        <v>481</v>
      </c>
    </row>
    <row r="74" spans="1:9" x14ac:dyDescent="0.2">
      <c r="A74" s="2" t="s">
        <v>4</v>
      </c>
      <c r="B74" s="4">
        <v>21</v>
      </c>
      <c r="E74" s="2" t="s">
        <v>482</v>
      </c>
      <c r="F74" s="2" t="s">
        <v>483</v>
      </c>
      <c r="G74" s="2" t="s">
        <v>484</v>
      </c>
      <c r="H74" s="2" t="s">
        <v>485</v>
      </c>
      <c r="I74" s="2" t="s">
        <v>486</v>
      </c>
    </row>
    <row r="75" spans="1:9" x14ac:dyDescent="0.2">
      <c r="A75" s="2" t="s">
        <v>4</v>
      </c>
      <c r="B75" s="4">
        <v>22</v>
      </c>
      <c r="E75" s="2" t="s">
        <v>487</v>
      </c>
      <c r="F75" s="2" t="s">
        <v>488</v>
      </c>
      <c r="G75" s="2" t="s">
        <v>489</v>
      </c>
      <c r="H75" s="2" t="s">
        <v>490</v>
      </c>
      <c r="I75" s="2" t="s">
        <v>491</v>
      </c>
    </row>
    <row r="76" spans="1:9" x14ac:dyDescent="0.2">
      <c r="A76" s="2" t="s">
        <v>4</v>
      </c>
      <c r="B76" s="4">
        <v>23</v>
      </c>
      <c r="E76" s="2" t="s">
        <v>492</v>
      </c>
      <c r="F76" s="2" t="s">
        <v>493</v>
      </c>
      <c r="G76" s="2" t="s">
        <v>494</v>
      </c>
      <c r="H76" s="2" t="s">
        <v>495</v>
      </c>
      <c r="I76" s="2" t="s">
        <v>496</v>
      </c>
    </row>
    <row r="77" spans="1:9" x14ac:dyDescent="0.2">
      <c r="A77" s="2" t="s">
        <v>4</v>
      </c>
      <c r="B77" s="4">
        <v>24</v>
      </c>
      <c r="C77" s="2" t="s">
        <v>502</v>
      </c>
      <c r="E77" s="2" t="s">
        <v>497</v>
      </c>
      <c r="F77" s="2" t="s">
        <v>498</v>
      </c>
      <c r="G77" s="2" t="s">
        <v>499</v>
      </c>
      <c r="H77" s="2" t="s">
        <v>500</v>
      </c>
      <c r="I77" s="2" t="s">
        <v>501</v>
      </c>
    </row>
    <row r="78" spans="1:9" x14ac:dyDescent="0.2">
      <c r="A78" s="2" t="s">
        <v>4</v>
      </c>
      <c r="B78" s="4">
        <v>25</v>
      </c>
      <c r="E78" s="2" t="s">
        <v>503</v>
      </c>
      <c r="F78" s="2" t="s">
        <v>504</v>
      </c>
      <c r="G78" s="2" t="s">
        <v>505</v>
      </c>
      <c r="H78" s="2" t="s">
        <v>506</v>
      </c>
      <c r="I78" s="2" t="s">
        <v>507</v>
      </c>
    </row>
    <row r="79" spans="1:9" x14ac:dyDescent="0.2">
      <c r="A79" s="2" t="s">
        <v>4</v>
      </c>
      <c r="B79" s="4">
        <v>26</v>
      </c>
      <c r="E79" s="2" t="s">
        <v>508</v>
      </c>
      <c r="F79" s="2" t="s">
        <v>509</v>
      </c>
      <c r="G79" s="2" t="s">
        <v>510</v>
      </c>
      <c r="H79" s="2" t="s">
        <v>511</v>
      </c>
      <c r="I79" s="2" t="s">
        <v>512</v>
      </c>
    </row>
    <row r="80" spans="1:9" x14ac:dyDescent="0.2">
      <c r="A80" s="2" t="s">
        <v>4</v>
      </c>
      <c r="B80" s="4">
        <v>27</v>
      </c>
      <c r="E80" s="2" t="s">
        <v>513</v>
      </c>
      <c r="F80" s="2" t="s">
        <v>514</v>
      </c>
      <c r="G80" s="2" t="s">
        <v>515</v>
      </c>
      <c r="H80" s="2" t="s">
        <v>516</v>
      </c>
      <c r="I80" s="2" t="s">
        <v>517</v>
      </c>
    </row>
    <row r="81" spans="1:9" x14ac:dyDescent="0.2">
      <c r="A81" s="2" t="s">
        <v>4</v>
      </c>
      <c r="B81" s="4">
        <v>28</v>
      </c>
      <c r="E81" s="2" t="s">
        <v>518</v>
      </c>
      <c r="F81" s="2" t="s">
        <v>519</v>
      </c>
      <c r="G81" s="2" t="s">
        <v>520</v>
      </c>
      <c r="H81" s="2" t="s">
        <v>521</v>
      </c>
      <c r="I81" s="2" t="s">
        <v>522</v>
      </c>
    </row>
    <row r="82" spans="1:9" x14ac:dyDescent="0.2">
      <c r="A82" s="2" t="s">
        <v>4</v>
      </c>
      <c r="B82" s="4">
        <v>29</v>
      </c>
      <c r="E82" s="2" t="s">
        <v>523</v>
      </c>
      <c r="F82" s="2" t="s">
        <v>524</v>
      </c>
      <c r="G82" s="2" t="s">
        <v>525</v>
      </c>
      <c r="H82" s="2" t="s">
        <v>526</v>
      </c>
      <c r="I82" s="2" t="s">
        <v>527</v>
      </c>
    </row>
    <row r="83" spans="1:9" x14ac:dyDescent="0.2">
      <c r="A83" s="2" t="s">
        <v>4</v>
      </c>
      <c r="B83" s="4">
        <v>30</v>
      </c>
      <c r="C83" s="2" t="s">
        <v>533</v>
      </c>
      <c r="E83" s="2" t="s">
        <v>528</v>
      </c>
      <c r="F83" s="2" t="s">
        <v>529</v>
      </c>
      <c r="G83" s="2" t="s">
        <v>530</v>
      </c>
      <c r="H83" s="2" t="s">
        <v>531</v>
      </c>
      <c r="I83" s="2" t="s">
        <v>532</v>
      </c>
    </row>
    <row r="84" spans="1:9" x14ac:dyDescent="0.2">
      <c r="A84" s="2" t="s">
        <v>4</v>
      </c>
      <c r="B84" s="4">
        <v>31</v>
      </c>
      <c r="E84" s="2" t="s">
        <v>534</v>
      </c>
      <c r="F84" s="2" t="s">
        <v>535</v>
      </c>
      <c r="G84" s="2" t="s">
        <v>536</v>
      </c>
      <c r="H84" s="2" t="s">
        <v>537</v>
      </c>
      <c r="I84" s="2" t="s">
        <v>538</v>
      </c>
    </row>
    <row r="85" spans="1:9" x14ac:dyDescent="0.2">
      <c r="A85" s="2" t="s">
        <v>4</v>
      </c>
      <c r="B85" s="4">
        <v>32</v>
      </c>
      <c r="E85" s="2" t="s">
        <v>539</v>
      </c>
      <c r="F85" s="2" t="s">
        <v>100</v>
      </c>
      <c r="G85" s="2" t="s">
        <v>101</v>
      </c>
      <c r="H85" s="2" t="s">
        <v>96</v>
      </c>
      <c r="I85" s="2" t="s">
        <v>97</v>
      </c>
    </row>
    <row r="86" spans="1:9" x14ac:dyDescent="0.2">
      <c r="A86" s="2" t="s">
        <v>4</v>
      </c>
      <c r="B86" s="4">
        <v>33</v>
      </c>
      <c r="E86" s="2" t="s">
        <v>540</v>
      </c>
      <c r="F86" s="2" t="s">
        <v>541</v>
      </c>
      <c r="G86" s="2" t="s">
        <v>542</v>
      </c>
      <c r="H86" s="2" t="s">
        <v>543</v>
      </c>
      <c r="I86" s="2" t="s">
        <v>544</v>
      </c>
    </row>
    <row r="87" spans="1:9" x14ac:dyDescent="0.2">
      <c r="A87" s="2" t="s">
        <v>4</v>
      </c>
      <c r="B87" s="4">
        <v>34</v>
      </c>
      <c r="E87" s="2" t="s">
        <v>545</v>
      </c>
      <c r="F87" s="2" t="s">
        <v>546</v>
      </c>
      <c r="G87" s="2" t="s">
        <v>547</v>
      </c>
      <c r="H87" s="2" t="s">
        <v>548</v>
      </c>
      <c r="I87" s="2" t="s">
        <v>549</v>
      </c>
    </row>
    <row r="88" spans="1:9" x14ac:dyDescent="0.2">
      <c r="A88" s="2" t="s">
        <v>4</v>
      </c>
      <c r="B88" s="4">
        <v>35</v>
      </c>
      <c r="C88" s="2" t="s">
        <v>555</v>
      </c>
      <c r="E88" s="2" t="s">
        <v>550</v>
      </c>
      <c r="F88" s="2" t="s">
        <v>551</v>
      </c>
      <c r="G88" s="2" t="s">
        <v>552</v>
      </c>
      <c r="H88" s="2" t="s">
        <v>553</v>
      </c>
      <c r="I88" s="2" t="s">
        <v>554</v>
      </c>
    </row>
    <row r="89" spans="1:9" x14ac:dyDescent="0.2">
      <c r="A89" s="2" t="s">
        <v>4</v>
      </c>
      <c r="B89" s="4">
        <v>36</v>
      </c>
      <c r="E89" s="2" t="s">
        <v>556</v>
      </c>
      <c r="F89" s="2" t="s">
        <v>557</v>
      </c>
      <c r="G89" s="2" t="s">
        <v>558</v>
      </c>
      <c r="H89" s="2" t="s">
        <v>559</v>
      </c>
      <c r="I89" s="2" t="s">
        <v>560</v>
      </c>
    </row>
    <row r="90" spans="1:9" x14ac:dyDescent="0.2">
      <c r="A90" s="2" t="s">
        <v>4</v>
      </c>
      <c r="B90" s="4">
        <v>37</v>
      </c>
      <c r="E90" s="2" t="s">
        <v>416</v>
      </c>
      <c r="F90" s="2" t="s">
        <v>561</v>
      </c>
      <c r="G90" s="2" t="s">
        <v>562</v>
      </c>
      <c r="H90" s="2" t="s">
        <v>563</v>
      </c>
      <c r="I90" s="2" t="s">
        <v>564</v>
      </c>
    </row>
    <row r="91" spans="1:9" x14ac:dyDescent="0.2">
      <c r="A91" s="2" t="s">
        <v>4</v>
      </c>
      <c r="B91" s="4">
        <v>38</v>
      </c>
      <c r="E91" s="2" t="s">
        <v>565</v>
      </c>
      <c r="F91" s="2" t="s">
        <v>566</v>
      </c>
      <c r="G91" s="2" t="s">
        <v>567</v>
      </c>
      <c r="H91" s="2" t="s">
        <v>568</v>
      </c>
      <c r="I91" s="2" t="s">
        <v>569</v>
      </c>
    </row>
    <row r="92" spans="1:9" x14ac:dyDescent="0.2">
      <c r="A92" s="2" t="s">
        <v>4</v>
      </c>
      <c r="B92" s="4">
        <v>39</v>
      </c>
      <c r="E92" s="2" t="s">
        <v>570</v>
      </c>
      <c r="F92" s="2" t="s">
        <v>571</v>
      </c>
      <c r="G92" s="2" t="s">
        <v>572</v>
      </c>
      <c r="H92" s="2" t="s">
        <v>573</v>
      </c>
      <c r="I92" s="2" t="s">
        <v>574</v>
      </c>
    </row>
    <row r="93" spans="1:9" x14ac:dyDescent="0.2">
      <c r="A93" s="2" t="s">
        <v>4</v>
      </c>
      <c r="B93" s="4">
        <v>40</v>
      </c>
      <c r="C93" s="2" t="s">
        <v>575</v>
      </c>
      <c r="E93" s="2" t="s">
        <v>150</v>
      </c>
      <c r="F93" s="2" t="s">
        <v>100</v>
      </c>
      <c r="G93" s="2" t="s">
        <v>96</v>
      </c>
      <c r="H93" s="2" t="s">
        <v>102</v>
      </c>
      <c r="I93" s="2" t="s">
        <v>98</v>
      </c>
    </row>
    <row r="94" spans="1:9" x14ac:dyDescent="0.2">
      <c r="A94" s="2" t="s">
        <v>5</v>
      </c>
      <c r="B94" s="4">
        <v>1</v>
      </c>
      <c r="E94" s="2" t="s">
        <v>576</v>
      </c>
      <c r="F94" s="2" t="s">
        <v>577</v>
      </c>
      <c r="G94" s="2" t="s">
        <v>578</v>
      </c>
      <c r="H94" s="2" t="s">
        <v>579</v>
      </c>
      <c r="I94" s="2" t="s">
        <v>580</v>
      </c>
    </row>
    <row r="95" spans="1:9" x14ac:dyDescent="0.2">
      <c r="A95" s="2" t="s">
        <v>5</v>
      </c>
      <c r="B95" s="4">
        <v>2</v>
      </c>
      <c r="E95" s="2" t="s">
        <v>581</v>
      </c>
      <c r="F95" s="2" t="s">
        <v>582</v>
      </c>
      <c r="G95" s="2" t="s">
        <v>583</v>
      </c>
      <c r="H95" s="2" t="s">
        <v>584</v>
      </c>
      <c r="I95" s="2" t="s">
        <v>585</v>
      </c>
    </row>
    <row r="96" spans="1:9" x14ac:dyDescent="0.2">
      <c r="A96" s="2" t="s">
        <v>5</v>
      </c>
      <c r="B96" s="4">
        <v>3</v>
      </c>
      <c r="E96" s="2" t="s">
        <v>586</v>
      </c>
      <c r="F96" s="2" t="s">
        <v>100</v>
      </c>
      <c r="G96" s="2" t="s">
        <v>98</v>
      </c>
      <c r="H96" s="2" t="s">
        <v>102</v>
      </c>
      <c r="I96" s="2" t="s">
        <v>95</v>
      </c>
    </row>
    <row r="97" spans="1:9" x14ac:dyDescent="0.2">
      <c r="A97" s="2" t="s">
        <v>5</v>
      </c>
      <c r="B97" s="4">
        <v>4</v>
      </c>
      <c r="E97" s="2" t="s">
        <v>587</v>
      </c>
      <c r="F97" s="2" t="s">
        <v>588</v>
      </c>
      <c r="G97" s="2" t="s">
        <v>589</v>
      </c>
      <c r="H97" s="2" t="s">
        <v>590</v>
      </c>
      <c r="I97" s="2" t="s">
        <v>591</v>
      </c>
    </row>
    <row r="98" spans="1:9" x14ac:dyDescent="0.2">
      <c r="A98" s="2" t="s">
        <v>5</v>
      </c>
      <c r="B98" s="4">
        <v>5</v>
      </c>
      <c r="E98" s="2" t="s">
        <v>592</v>
      </c>
      <c r="F98" s="2" t="s">
        <v>99</v>
      </c>
      <c r="G98" s="2" t="s">
        <v>99</v>
      </c>
      <c r="H98" s="2" t="s">
        <v>99</v>
      </c>
      <c r="I98" s="2" t="s">
        <v>99</v>
      </c>
    </row>
    <row r="99" spans="1:9" x14ac:dyDescent="0.2">
      <c r="A99" s="2" t="s">
        <v>5</v>
      </c>
      <c r="B99" s="4">
        <v>6</v>
      </c>
      <c r="C99" s="2" t="s">
        <v>594</v>
      </c>
      <c r="E99" s="2" t="s">
        <v>593</v>
      </c>
      <c r="F99" s="2" t="s">
        <v>99</v>
      </c>
      <c r="G99" s="2" t="s">
        <v>99</v>
      </c>
      <c r="H99" s="2" t="s">
        <v>99</v>
      </c>
      <c r="I99" s="2" t="s">
        <v>99</v>
      </c>
    </row>
    <row r="100" spans="1:9" x14ac:dyDescent="0.2">
      <c r="A100" s="2" t="s">
        <v>5</v>
      </c>
      <c r="B100" s="4">
        <v>7</v>
      </c>
      <c r="E100" s="2" t="s">
        <v>595</v>
      </c>
      <c r="F100" s="2" t="s">
        <v>596</v>
      </c>
      <c r="G100" s="2" t="s">
        <v>597</v>
      </c>
      <c r="H100" s="2" t="s">
        <v>598</v>
      </c>
      <c r="I100" s="2" t="s">
        <v>599</v>
      </c>
    </row>
    <row r="101" spans="1:9" x14ac:dyDescent="0.2">
      <c r="A101" s="2" t="s">
        <v>5</v>
      </c>
      <c r="B101" s="4">
        <v>8</v>
      </c>
      <c r="E101" s="2" t="s">
        <v>600</v>
      </c>
      <c r="F101" s="2" t="s">
        <v>601</v>
      </c>
      <c r="G101" s="2" t="s">
        <v>602</v>
      </c>
      <c r="H101" s="2" t="s">
        <v>603</v>
      </c>
      <c r="I101" s="2" t="s">
        <v>604</v>
      </c>
    </row>
    <row r="102" spans="1:9" x14ac:dyDescent="0.2">
      <c r="A102" s="2" t="s">
        <v>5</v>
      </c>
      <c r="B102" s="4">
        <v>9</v>
      </c>
      <c r="E102" s="2" t="s">
        <v>605</v>
      </c>
      <c r="F102" s="2" t="s">
        <v>606</v>
      </c>
      <c r="G102" s="2" t="s">
        <v>607</v>
      </c>
      <c r="H102" s="2" t="s">
        <v>608</v>
      </c>
      <c r="I102" s="2" t="s">
        <v>609</v>
      </c>
    </row>
    <row r="103" spans="1:9" x14ac:dyDescent="0.2">
      <c r="A103" s="2" t="s">
        <v>5</v>
      </c>
      <c r="B103" s="4">
        <v>10</v>
      </c>
      <c r="E103" s="2" t="s">
        <v>610</v>
      </c>
      <c r="F103" s="2" t="s">
        <v>611</v>
      </c>
      <c r="G103" s="2" t="s">
        <v>612</v>
      </c>
      <c r="H103" s="2" t="s">
        <v>613</v>
      </c>
      <c r="I103" s="2" t="s">
        <v>614</v>
      </c>
    </row>
    <row r="104" spans="1:9" x14ac:dyDescent="0.2">
      <c r="A104" s="2" t="s">
        <v>5</v>
      </c>
      <c r="B104" s="4">
        <v>11</v>
      </c>
      <c r="C104" s="2" t="s">
        <v>620</v>
      </c>
      <c r="E104" s="2" t="s">
        <v>615</v>
      </c>
      <c r="F104" s="2" t="s">
        <v>616</v>
      </c>
      <c r="G104" s="2" t="s">
        <v>617</v>
      </c>
      <c r="H104" s="2" t="s">
        <v>618</v>
      </c>
      <c r="I104" s="2" t="s">
        <v>619</v>
      </c>
    </row>
    <row r="105" spans="1:9" x14ac:dyDescent="0.2">
      <c r="A105" s="2" t="s">
        <v>5</v>
      </c>
      <c r="B105" s="4">
        <v>12</v>
      </c>
      <c r="E105" s="2" t="s">
        <v>621</v>
      </c>
      <c r="F105" s="2" t="s">
        <v>622</v>
      </c>
      <c r="G105" s="2" t="s">
        <v>623</v>
      </c>
      <c r="H105" s="2" t="s">
        <v>624</v>
      </c>
      <c r="I105" s="2" t="s">
        <v>625</v>
      </c>
    </row>
    <row r="106" spans="1:9" x14ac:dyDescent="0.2">
      <c r="A106" s="2" t="s">
        <v>5</v>
      </c>
      <c r="B106" s="4">
        <v>13</v>
      </c>
      <c r="E106" s="2" t="s">
        <v>626</v>
      </c>
      <c r="F106" s="2" t="s">
        <v>627</v>
      </c>
      <c r="G106" s="2" t="s">
        <v>628</v>
      </c>
      <c r="H106" s="2" t="s">
        <v>629</v>
      </c>
      <c r="I106" s="2" t="s">
        <v>630</v>
      </c>
    </row>
    <row r="107" spans="1:9" x14ac:dyDescent="0.2">
      <c r="A107" s="2" t="s">
        <v>5</v>
      </c>
      <c r="B107" s="4">
        <v>14</v>
      </c>
      <c r="E107" s="2" t="s">
        <v>631</v>
      </c>
      <c r="F107" s="2" t="s">
        <v>632</v>
      </c>
      <c r="G107" s="2" t="s">
        <v>633</v>
      </c>
      <c r="H107" s="2" t="s">
        <v>634</v>
      </c>
      <c r="I107" s="2" t="s">
        <v>635</v>
      </c>
    </row>
    <row r="108" spans="1:9" x14ac:dyDescent="0.2">
      <c r="A108" s="2" t="s">
        <v>5</v>
      </c>
      <c r="B108" s="4">
        <v>15</v>
      </c>
      <c r="C108" s="2" t="s">
        <v>103</v>
      </c>
      <c r="E108" s="2" t="s">
        <v>636</v>
      </c>
      <c r="F108" s="2" t="s">
        <v>100</v>
      </c>
      <c r="G108" s="2" t="s">
        <v>101</v>
      </c>
      <c r="H108" s="2" t="s">
        <v>95</v>
      </c>
      <c r="I108" s="2" t="s">
        <v>98</v>
      </c>
    </row>
    <row r="109" spans="1:9" x14ac:dyDescent="0.2">
      <c r="A109" s="2" t="s">
        <v>5</v>
      </c>
      <c r="B109" s="4">
        <v>16</v>
      </c>
      <c r="E109" s="2" t="s">
        <v>637</v>
      </c>
      <c r="F109" s="2" t="s">
        <v>638</v>
      </c>
      <c r="G109" s="2" t="s">
        <v>639</v>
      </c>
      <c r="H109" s="2" t="s">
        <v>640</v>
      </c>
      <c r="I109" s="2" t="s">
        <v>641</v>
      </c>
    </row>
    <row r="110" spans="1:9" x14ac:dyDescent="0.2">
      <c r="A110" s="2" t="s">
        <v>5</v>
      </c>
      <c r="B110" s="4">
        <v>17</v>
      </c>
      <c r="E110" s="2" t="s">
        <v>642</v>
      </c>
      <c r="F110" s="2" t="s">
        <v>643</v>
      </c>
      <c r="G110" s="2" t="s">
        <v>106</v>
      </c>
      <c r="H110" s="2" t="s">
        <v>107</v>
      </c>
      <c r="I110" s="2" t="s">
        <v>108</v>
      </c>
    </row>
    <row r="111" spans="1:9" x14ac:dyDescent="0.2">
      <c r="A111" s="2" t="s">
        <v>5</v>
      </c>
      <c r="B111" s="4">
        <v>18</v>
      </c>
      <c r="E111" s="2" t="s">
        <v>644</v>
      </c>
      <c r="F111" s="2" t="s">
        <v>645</v>
      </c>
      <c r="G111" s="2" t="s">
        <v>646</v>
      </c>
      <c r="H111" s="2" t="s">
        <v>647</v>
      </c>
      <c r="I111" s="2" t="s">
        <v>648</v>
      </c>
    </row>
    <row r="112" spans="1:9" x14ac:dyDescent="0.2">
      <c r="A112" s="2" t="s">
        <v>5</v>
      </c>
      <c r="B112" s="4">
        <v>19</v>
      </c>
      <c r="E112" s="2" t="s">
        <v>649</v>
      </c>
      <c r="F112" s="2" t="s">
        <v>650</v>
      </c>
      <c r="G112" s="2" t="s">
        <v>651</v>
      </c>
      <c r="H112" s="2" t="s">
        <v>652</v>
      </c>
      <c r="I112" s="2" t="s">
        <v>653</v>
      </c>
    </row>
    <row r="113" spans="1:9" x14ac:dyDescent="0.2">
      <c r="A113" s="2" t="s">
        <v>5</v>
      </c>
      <c r="B113" s="4">
        <v>20</v>
      </c>
      <c r="E113" s="2" t="s">
        <v>654</v>
      </c>
      <c r="F113" s="2" t="s">
        <v>655</v>
      </c>
      <c r="G113" s="2" t="s">
        <v>656</v>
      </c>
      <c r="H113" s="2" t="s">
        <v>657</v>
      </c>
      <c r="I113" s="2" t="s">
        <v>658</v>
      </c>
    </row>
    <row r="114" spans="1:9" x14ac:dyDescent="0.2">
      <c r="A114" s="2" t="s">
        <v>5</v>
      </c>
      <c r="B114" s="4">
        <v>21</v>
      </c>
      <c r="C114" s="2" t="s">
        <v>664</v>
      </c>
      <c r="E114" s="2" t="s">
        <v>659</v>
      </c>
      <c r="F114" s="2" t="s">
        <v>660</v>
      </c>
      <c r="G114" s="2" t="s">
        <v>661</v>
      </c>
      <c r="H114" s="2" t="s">
        <v>662</v>
      </c>
      <c r="I114" s="2" t="s">
        <v>663</v>
      </c>
    </row>
    <row r="115" spans="1:9" x14ac:dyDescent="0.2">
      <c r="A115" s="2" t="s">
        <v>5</v>
      </c>
      <c r="B115" s="4">
        <v>22</v>
      </c>
      <c r="E115" s="2" t="s">
        <v>665</v>
      </c>
      <c r="F115" s="2" t="s">
        <v>666</v>
      </c>
      <c r="G115" s="2" t="s">
        <v>667</v>
      </c>
      <c r="H115" s="2" t="s">
        <v>668</v>
      </c>
      <c r="I115" s="2" t="s">
        <v>669</v>
      </c>
    </row>
    <row r="116" spans="1:9" x14ac:dyDescent="0.2">
      <c r="A116" s="2" t="s">
        <v>5</v>
      </c>
      <c r="B116" s="4">
        <v>23</v>
      </c>
      <c r="E116" s="2" t="s">
        <v>670</v>
      </c>
      <c r="F116" s="2" t="s">
        <v>671</v>
      </c>
      <c r="G116" s="2" t="s">
        <v>672</v>
      </c>
      <c r="H116" s="2" t="s">
        <v>673</v>
      </c>
      <c r="I116" s="2" t="s">
        <v>674</v>
      </c>
    </row>
    <row r="117" spans="1:9" x14ac:dyDescent="0.2">
      <c r="A117" s="2" t="s">
        <v>5</v>
      </c>
      <c r="B117" s="4">
        <v>24</v>
      </c>
      <c r="E117" s="2" t="s">
        <v>675</v>
      </c>
      <c r="F117" s="2" t="s">
        <v>667</v>
      </c>
      <c r="G117" s="2" t="s">
        <v>668</v>
      </c>
      <c r="H117" s="2" t="s">
        <v>669</v>
      </c>
      <c r="I117" s="2" t="s">
        <v>676</v>
      </c>
    </row>
    <row r="118" spans="1:9" x14ac:dyDescent="0.2">
      <c r="A118" s="2" t="s">
        <v>5</v>
      </c>
      <c r="B118" s="4">
        <v>25</v>
      </c>
      <c r="E118" s="2" t="s">
        <v>677</v>
      </c>
      <c r="F118" s="2" t="s">
        <v>678</v>
      </c>
      <c r="G118" s="2" t="s">
        <v>679</v>
      </c>
      <c r="H118" s="2" t="s">
        <v>680</v>
      </c>
      <c r="I118" s="2" t="s">
        <v>681</v>
      </c>
    </row>
    <row r="119" spans="1:9" x14ac:dyDescent="0.2">
      <c r="A119" s="2" t="s">
        <v>5</v>
      </c>
      <c r="B119" s="4">
        <v>26</v>
      </c>
      <c r="C119" s="2" t="s">
        <v>687</v>
      </c>
      <c r="E119" s="2" t="s">
        <v>682</v>
      </c>
      <c r="F119" s="2" t="s">
        <v>683</v>
      </c>
      <c r="G119" s="2" t="s">
        <v>684</v>
      </c>
      <c r="H119" s="2" t="s">
        <v>685</v>
      </c>
      <c r="I119" s="2" t="s">
        <v>686</v>
      </c>
    </row>
    <row r="120" spans="1:9" x14ac:dyDescent="0.2">
      <c r="A120" s="2" t="s">
        <v>5</v>
      </c>
      <c r="B120" s="4">
        <v>27</v>
      </c>
      <c r="E120" s="2" t="s">
        <v>688</v>
      </c>
      <c r="F120" s="2" t="s">
        <v>689</v>
      </c>
      <c r="G120" s="2" t="s">
        <v>690</v>
      </c>
      <c r="H120" s="2" t="s">
        <v>691</v>
      </c>
      <c r="I120" s="2" t="s">
        <v>692</v>
      </c>
    </row>
    <row r="121" spans="1:9" x14ac:dyDescent="0.2">
      <c r="A121" s="2" t="s">
        <v>5</v>
      </c>
      <c r="B121" s="4">
        <v>28</v>
      </c>
      <c r="E121" s="2" t="s">
        <v>693</v>
      </c>
      <c r="F121" s="2" t="s">
        <v>694</v>
      </c>
      <c r="G121" s="2" t="s">
        <v>695</v>
      </c>
      <c r="H121" s="2" t="s">
        <v>696</v>
      </c>
      <c r="I121" s="2" t="s">
        <v>697</v>
      </c>
    </row>
    <row r="122" spans="1:9" x14ac:dyDescent="0.2">
      <c r="A122" s="2" t="s">
        <v>5</v>
      </c>
      <c r="B122" s="4">
        <v>29</v>
      </c>
      <c r="E122" s="2" t="s">
        <v>698</v>
      </c>
      <c r="F122" s="2" t="s">
        <v>699</v>
      </c>
      <c r="G122" s="2" t="s">
        <v>700</v>
      </c>
      <c r="H122" s="2" t="s">
        <v>701</v>
      </c>
      <c r="I122" s="2" t="s">
        <v>702</v>
      </c>
    </row>
    <row r="123" spans="1:9" x14ac:dyDescent="0.2">
      <c r="A123" s="2" t="s">
        <v>5</v>
      </c>
      <c r="B123" s="4">
        <v>30</v>
      </c>
      <c r="C123" s="2" t="s">
        <v>103</v>
      </c>
      <c r="E123" s="2" t="s">
        <v>703</v>
      </c>
      <c r="F123" s="2" t="s">
        <v>704</v>
      </c>
      <c r="G123" s="2" t="s">
        <v>705</v>
      </c>
      <c r="H123" s="2" t="s">
        <v>706</v>
      </c>
      <c r="I123" s="2" t="s">
        <v>707</v>
      </c>
    </row>
    <row r="124" spans="1:9" x14ac:dyDescent="0.2">
      <c r="A124" s="2" t="s">
        <v>5</v>
      </c>
      <c r="B124" s="4">
        <v>31</v>
      </c>
      <c r="E124" s="2" t="s">
        <v>708</v>
      </c>
      <c r="F124" s="2" t="s">
        <v>709</v>
      </c>
      <c r="G124" s="2" t="s">
        <v>710</v>
      </c>
      <c r="H124" s="2" t="s">
        <v>711</v>
      </c>
      <c r="I124" s="2" t="s">
        <v>712</v>
      </c>
    </row>
    <row r="125" spans="1:9" x14ac:dyDescent="0.2">
      <c r="A125" s="2" t="s">
        <v>5</v>
      </c>
      <c r="B125" s="4">
        <v>32</v>
      </c>
      <c r="E125" s="2" t="s">
        <v>713</v>
      </c>
      <c r="F125" s="2" t="s">
        <v>714</v>
      </c>
      <c r="G125" s="2" t="s">
        <v>715</v>
      </c>
      <c r="H125" s="2" t="s">
        <v>716</v>
      </c>
      <c r="I125" s="2" t="s">
        <v>717</v>
      </c>
    </row>
    <row r="126" spans="1:9" x14ac:dyDescent="0.2">
      <c r="A126" s="2" t="s">
        <v>5</v>
      </c>
      <c r="B126" s="4">
        <v>33</v>
      </c>
      <c r="E126" s="2" t="s">
        <v>718</v>
      </c>
      <c r="F126" s="2" t="s">
        <v>719</v>
      </c>
      <c r="G126" s="2" t="s">
        <v>720</v>
      </c>
      <c r="H126" s="2" t="s">
        <v>721</v>
      </c>
      <c r="I126" s="2" t="s">
        <v>722</v>
      </c>
    </row>
    <row r="127" spans="1:9" x14ac:dyDescent="0.2">
      <c r="A127" s="2" t="s">
        <v>5</v>
      </c>
      <c r="B127" s="4">
        <v>34</v>
      </c>
      <c r="E127" s="2" t="s">
        <v>723</v>
      </c>
      <c r="F127" s="2" t="s">
        <v>714</v>
      </c>
      <c r="G127" s="2" t="s">
        <v>715</v>
      </c>
      <c r="H127" s="2" t="s">
        <v>724</v>
      </c>
      <c r="I127" s="2" t="s">
        <v>725</v>
      </c>
    </row>
    <row r="128" spans="1:9" x14ac:dyDescent="0.2">
      <c r="A128" s="2" t="s">
        <v>5</v>
      </c>
      <c r="B128" s="4">
        <v>35</v>
      </c>
      <c r="C128" s="2" t="s">
        <v>731</v>
      </c>
      <c r="E128" s="2" t="s">
        <v>726</v>
      </c>
      <c r="F128" s="2" t="s">
        <v>727</v>
      </c>
      <c r="G128" s="2" t="s">
        <v>728</v>
      </c>
      <c r="H128" s="2" t="s">
        <v>729</v>
      </c>
      <c r="I128" s="2" t="s">
        <v>730</v>
      </c>
    </row>
    <row r="129" spans="1:9" x14ac:dyDescent="0.2">
      <c r="A129" s="2" t="s">
        <v>5</v>
      </c>
      <c r="B129" s="4">
        <v>36</v>
      </c>
      <c r="E129" s="2" t="s">
        <v>732</v>
      </c>
      <c r="F129" s="2" t="s">
        <v>733</v>
      </c>
      <c r="G129" s="2" t="s">
        <v>734</v>
      </c>
      <c r="H129" s="2" t="s">
        <v>735</v>
      </c>
      <c r="I129" s="2" t="s">
        <v>736</v>
      </c>
    </row>
    <row r="130" spans="1:9" x14ac:dyDescent="0.2">
      <c r="A130" s="2" t="s">
        <v>5</v>
      </c>
      <c r="B130" s="4">
        <v>37</v>
      </c>
      <c r="E130" s="2" t="s">
        <v>737</v>
      </c>
      <c r="F130" s="2" t="s">
        <v>738</v>
      </c>
      <c r="G130" s="2" t="s">
        <v>739</v>
      </c>
      <c r="H130" s="2" t="s">
        <v>740</v>
      </c>
      <c r="I130" s="2" t="s">
        <v>741</v>
      </c>
    </row>
    <row r="131" spans="1:9" x14ac:dyDescent="0.2">
      <c r="A131" s="2" t="s">
        <v>5</v>
      </c>
      <c r="B131" s="4">
        <v>38</v>
      </c>
      <c r="E131" s="2" t="s">
        <v>742</v>
      </c>
      <c r="F131" s="2" t="s">
        <v>743</v>
      </c>
      <c r="G131" s="2" t="s">
        <v>744</v>
      </c>
      <c r="H131" s="2" t="s">
        <v>745</v>
      </c>
      <c r="I131" s="2" t="s">
        <v>746</v>
      </c>
    </row>
    <row r="132" spans="1:9" x14ac:dyDescent="0.2">
      <c r="A132" s="2" t="s">
        <v>5</v>
      </c>
      <c r="B132" s="4">
        <v>39</v>
      </c>
      <c r="E132" s="2" t="s">
        <v>747</v>
      </c>
      <c r="F132" s="2" t="s">
        <v>748</v>
      </c>
      <c r="G132" s="2" t="s">
        <v>749</v>
      </c>
      <c r="H132" s="2" t="s">
        <v>750</v>
      </c>
      <c r="I132" s="2" t="s">
        <v>751</v>
      </c>
    </row>
    <row r="133" spans="1:9" x14ac:dyDescent="0.2">
      <c r="A133" s="2" t="s">
        <v>5</v>
      </c>
      <c r="B133" s="4">
        <v>40</v>
      </c>
      <c r="E133" s="2" t="s">
        <v>752</v>
      </c>
      <c r="F133" s="2" t="s">
        <v>753</v>
      </c>
      <c r="G133" s="2" t="s">
        <v>754</v>
      </c>
      <c r="H133" s="2" t="s">
        <v>755</v>
      </c>
      <c r="I133" s="2" t="s">
        <v>756</v>
      </c>
    </row>
    <row r="134" spans="1:9" x14ac:dyDescent="0.2">
      <c r="A134" s="2" t="s">
        <v>5</v>
      </c>
      <c r="B134" s="4">
        <v>41</v>
      </c>
      <c r="C134" s="2" t="s">
        <v>762</v>
      </c>
      <c r="E134" s="2" t="s">
        <v>757</v>
      </c>
      <c r="F134" s="2" t="s">
        <v>758</v>
      </c>
      <c r="G134" s="2" t="s">
        <v>759</v>
      </c>
      <c r="H134" s="2" t="s">
        <v>760</v>
      </c>
      <c r="I134" s="2" t="s">
        <v>761</v>
      </c>
    </row>
    <row r="135" spans="1:9" x14ac:dyDescent="0.2">
      <c r="A135" s="2" t="s">
        <v>5</v>
      </c>
      <c r="B135" s="4">
        <v>42</v>
      </c>
      <c r="E135" s="2" t="s">
        <v>763</v>
      </c>
      <c r="F135" s="2" t="s">
        <v>105</v>
      </c>
      <c r="G135" s="2" t="s">
        <v>764</v>
      </c>
      <c r="H135" s="2" t="s">
        <v>765</v>
      </c>
      <c r="I135" s="2" t="s">
        <v>766</v>
      </c>
    </row>
    <row r="136" spans="1:9" x14ac:dyDescent="0.2">
      <c r="A136" s="2" t="s">
        <v>5</v>
      </c>
      <c r="B136" s="4">
        <v>43</v>
      </c>
      <c r="E136" s="2" t="s">
        <v>767</v>
      </c>
      <c r="F136" s="2" t="s">
        <v>768</v>
      </c>
      <c r="G136" s="2" t="s">
        <v>769</v>
      </c>
      <c r="H136" s="2" t="s">
        <v>770</v>
      </c>
      <c r="I136" s="2" t="s">
        <v>771</v>
      </c>
    </row>
    <row r="137" spans="1:9" x14ac:dyDescent="0.2">
      <c r="A137" s="2" t="s">
        <v>5</v>
      </c>
      <c r="B137" s="4">
        <v>44</v>
      </c>
      <c r="E137" s="2" t="s">
        <v>772</v>
      </c>
      <c r="F137" s="2" t="s">
        <v>99</v>
      </c>
      <c r="G137" s="2" t="s">
        <v>99</v>
      </c>
      <c r="H137" s="2" t="s">
        <v>99</v>
      </c>
      <c r="I137" s="2" t="s">
        <v>99</v>
      </c>
    </row>
    <row r="138" spans="1:9" x14ac:dyDescent="0.2">
      <c r="A138" s="2" t="s">
        <v>5</v>
      </c>
      <c r="B138" s="4">
        <v>45</v>
      </c>
      <c r="E138" s="2" t="s">
        <v>773</v>
      </c>
      <c r="F138" s="2" t="s">
        <v>774</v>
      </c>
      <c r="G138" s="2" t="s">
        <v>775</v>
      </c>
      <c r="H138" s="2" t="s">
        <v>776</v>
      </c>
      <c r="I138" s="2" t="s">
        <v>777</v>
      </c>
    </row>
    <row r="139" spans="1:9" x14ac:dyDescent="0.2">
      <c r="A139" s="2" t="s">
        <v>5</v>
      </c>
      <c r="B139" s="4">
        <v>46</v>
      </c>
      <c r="E139" s="2" t="s">
        <v>778</v>
      </c>
      <c r="F139" s="2" t="s">
        <v>779</v>
      </c>
      <c r="G139" s="2" t="s">
        <v>780</v>
      </c>
      <c r="H139" s="2" t="s">
        <v>781</v>
      </c>
      <c r="I139" s="2" t="s">
        <v>782</v>
      </c>
    </row>
    <row r="140" spans="1:9" x14ac:dyDescent="0.2">
      <c r="A140" s="2" t="s">
        <v>5</v>
      </c>
      <c r="B140" s="4">
        <v>47</v>
      </c>
      <c r="C140" s="2" t="s">
        <v>788</v>
      </c>
      <c r="E140" s="2" t="s">
        <v>783</v>
      </c>
      <c r="F140" s="2" t="s">
        <v>784</v>
      </c>
      <c r="G140" s="2" t="s">
        <v>785</v>
      </c>
      <c r="H140" s="2" t="s">
        <v>786</v>
      </c>
      <c r="I140" s="2" t="s">
        <v>787</v>
      </c>
    </row>
    <row r="141" spans="1:9" x14ac:dyDescent="0.2">
      <c r="A141" s="2" t="s">
        <v>5</v>
      </c>
      <c r="B141" s="4">
        <v>48</v>
      </c>
      <c r="E141" s="2" t="s">
        <v>789</v>
      </c>
      <c r="F141" s="2" t="s">
        <v>790</v>
      </c>
      <c r="G141" s="2" t="s">
        <v>791</v>
      </c>
      <c r="H141" s="2" t="s">
        <v>792</v>
      </c>
      <c r="I141" s="2" t="s">
        <v>793</v>
      </c>
    </row>
    <row r="142" spans="1:9" x14ac:dyDescent="0.2">
      <c r="A142" s="2" t="s">
        <v>5</v>
      </c>
      <c r="B142" s="4">
        <v>49</v>
      </c>
      <c r="E142" s="2" t="s">
        <v>794</v>
      </c>
      <c r="F142" s="2" t="s">
        <v>795</v>
      </c>
      <c r="G142" s="2" t="s">
        <v>796</v>
      </c>
      <c r="H142" s="2" t="s">
        <v>797</v>
      </c>
      <c r="I142" s="2" t="s">
        <v>798</v>
      </c>
    </row>
    <row r="143" spans="1:9" x14ac:dyDescent="0.2">
      <c r="A143" s="2" t="s">
        <v>5</v>
      </c>
      <c r="B143" s="4">
        <v>50</v>
      </c>
      <c r="E143" s="2" t="s">
        <v>799</v>
      </c>
      <c r="F143" s="2" t="s">
        <v>800</v>
      </c>
      <c r="G143" s="2" t="s">
        <v>801</v>
      </c>
      <c r="H143" s="2" t="s">
        <v>802</v>
      </c>
      <c r="I143" s="2" t="s">
        <v>803</v>
      </c>
    </row>
    <row r="144" spans="1:9" x14ac:dyDescent="0.2">
      <c r="A144" s="2" t="s">
        <v>5</v>
      </c>
      <c r="B144" s="4">
        <v>51</v>
      </c>
      <c r="E144" s="2" t="s">
        <v>804</v>
      </c>
      <c r="F144" s="2" t="s">
        <v>125</v>
      </c>
      <c r="G144" s="2" t="s">
        <v>106</v>
      </c>
      <c r="H144" s="2" t="s">
        <v>107</v>
      </c>
      <c r="I144" s="2" t="s">
        <v>137</v>
      </c>
    </row>
    <row r="145" spans="1:9" x14ac:dyDescent="0.2">
      <c r="A145" s="2" t="s">
        <v>5</v>
      </c>
      <c r="B145" s="4">
        <v>52</v>
      </c>
      <c r="C145" s="2" t="s">
        <v>103</v>
      </c>
      <c r="E145" s="2" t="s">
        <v>805</v>
      </c>
      <c r="F145" s="2" t="s">
        <v>95</v>
      </c>
      <c r="G145" s="2" t="s">
        <v>96</v>
      </c>
      <c r="H145" s="2" t="s">
        <v>97</v>
      </c>
      <c r="I145" s="2" t="s">
        <v>102</v>
      </c>
    </row>
  </sheetData>
  <pageMargins left="0.7" right="0.7" top="0.75" bottom="0.75" header="0.3" footer="0.3"/>
  <pageSetup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E5"/>
  <sheetViews>
    <sheetView tabSelected="1" workbookViewId="0">
      <selection activeCell="A3" sqref="A3:A5"/>
    </sheetView>
  </sheetViews>
  <sheetFormatPr defaultRowHeight="11.25" x14ac:dyDescent="0.2"/>
  <cols>
    <col min="1" max="1" width="11.85546875" style="2" customWidth="1" collapsed="1"/>
    <col min="2" max="2" width="14.42578125" style="2" customWidth="1" collapsed="1"/>
    <col min="3" max="3" width="22.28515625" style="2" customWidth="1" collapsed="1"/>
    <col min="4" max="4" width="18.42578125" style="2" customWidth="1" collapsed="1"/>
    <col min="5" max="6" width="6" style="2" customWidth="1" collapsed="1"/>
    <col min="7" max="7" width="9.7109375" style="2" customWidth="1" collapsed="1"/>
    <col min="8" max="16384" width="9.140625" style="2" collapsed="1"/>
  </cols>
  <sheetData>
    <row r="1" spans="1:31" s="13" customFormat="1" x14ac:dyDescent="0.2">
      <c r="A1" s="11" t="s">
        <v>27</v>
      </c>
      <c r="B1" s="12" t="s">
        <v>18</v>
      </c>
      <c r="C1" s="11" t="s">
        <v>22</v>
      </c>
      <c r="D1" s="11" t="s">
        <v>57</v>
      </c>
      <c r="E1" s="12" t="s">
        <v>112</v>
      </c>
      <c r="F1" s="12" t="s">
        <v>19</v>
      </c>
      <c r="G1" s="12" t="s">
        <v>20</v>
      </c>
    </row>
    <row r="2" spans="1:31" x14ac:dyDescent="0.2">
      <c r="A2" s="2" t="s">
        <v>113</v>
      </c>
      <c r="B2" s="2" t="s">
        <v>21</v>
      </c>
      <c r="C2" s="2" t="s">
        <v>26</v>
      </c>
      <c r="D2" s="2" t="s">
        <v>58</v>
      </c>
      <c r="E2" s="2">
        <v>28</v>
      </c>
      <c r="F2" s="2">
        <v>10</v>
      </c>
      <c r="G2" s="2" t="s">
        <v>958</v>
      </c>
      <c r="AE2" s="2">
        <v>25</v>
      </c>
    </row>
    <row r="3" spans="1:31" x14ac:dyDescent="0.2">
      <c r="A3" s="2" t="s">
        <v>113</v>
      </c>
      <c r="B3" s="2" t="s">
        <v>4</v>
      </c>
      <c r="C3" s="2" t="s">
        <v>24</v>
      </c>
      <c r="D3" s="2" t="s">
        <v>59</v>
      </c>
      <c r="E3" s="2">
        <v>8</v>
      </c>
      <c r="F3" s="2">
        <v>4</v>
      </c>
      <c r="G3" s="2" t="s">
        <v>957</v>
      </c>
      <c r="AE3" s="2">
        <v>8</v>
      </c>
    </row>
    <row r="4" spans="1:31" x14ac:dyDescent="0.2">
      <c r="A4" s="2" t="s">
        <v>113</v>
      </c>
      <c r="B4" s="2" t="s">
        <v>5</v>
      </c>
      <c r="C4" s="2" t="s">
        <v>25</v>
      </c>
      <c r="D4" s="2" t="s">
        <v>60</v>
      </c>
      <c r="E4" s="2">
        <v>10</v>
      </c>
      <c r="F4" s="2">
        <v>3</v>
      </c>
      <c r="G4" s="2" t="s">
        <v>958</v>
      </c>
      <c r="AE4" s="2">
        <v>11</v>
      </c>
    </row>
    <row r="5" spans="1:31" x14ac:dyDescent="0.2">
      <c r="A5" s="2" t="s">
        <v>113</v>
      </c>
      <c r="B5" s="2" t="s">
        <v>3</v>
      </c>
      <c r="C5" s="2" t="s">
        <v>23</v>
      </c>
      <c r="D5" s="2" t="s">
        <v>61</v>
      </c>
      <c r="E5" s="2">
        <v>10</v>
      </c>
      <c r="F5" s="2">
        <v>3</v>
      </c>
      <c r="G5" s="2" t="s">
        <v>956</v>
      </c>
      <c r="AE5" s="2">
        <v>6</v>
      </c>
    </row>
  </sheetData>
  <pageMargins left="0.7" right="0.7" top="0.75" bottom="0.75" header="0.3" footer="0.3"/>
  <pageSetup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F202"/>
  <sheetViews>
    <sheetView topLeftCell="A189" workbookViewId="0">
      <selection activeCell="A203" sqref="A203:XFD634"/>
    </sheetView>
  </sheetViews>
  <sheetFormatPr defaultRowHeight="11.25" x14ac:dyDescent="0.2"/>
  <cols>
    <col min="1" max="2" width="9.140625" style="2" customWidth="1" collapsed="1"/>
    <col min="3" max="3" width="7.140625" style="2" customWidth="1" collapsed="1"/>
    <col min="4" max="4" width="14.85546875" style="2" customWidth="1" collapsed="1"/>
    <col min="5" max="5" width="11.140625" style="2" customWidth="1" collapsed="1"/>
    <col min="6" max="6" width="12.42578125" style="2" customWidth="1" collapsed="1"/>
    <col min="7" max="16384" width="9.140625" style="2" collapsed="1"/>
  </cols>
  <sheetData>
    <row r="1" spans="1:6" x14ac:dyDescent="0.2">
      <c r="A1" s="16" t="s">
        <v>75</v>
      </c>
      <c r="B1" s="16" t="s">
        <v>2</v>
      </c>
      <c r="C1" s="16" t="s">
        <v>109</v>
      </c>
      <c r="D1" s="16" t="s">
        <v>110</v>
      </c>
      <c r="E1" s="16" t="s">
        <v>63</v>
      </c>
      <c r="F1" s="16" t="s">
        <v>111</v>
      </c>
    </row>
    <row r="2" spans="1:6" x14ac:dyDescent="0.2">
      <c r="A2" s="2" t="s">
        <v>113</v>
      </c>
      <c r="B2" s="2" t="s">
        <v>21</v>
      </c>
      <c r="C2" s="2">
        <v>1</v>
      </c>
      <c r="D2" s="2">
        <v>0</v>
      </c>
      <c r="E2" s="2">
        <v>1</v>
      </c>
      <c r="F2" s="2" t="str">
        <f t="shared" ref="F2:F17" si="0">IF(RIGHT(ROUND(D2,0),2)="13",ROUND(D2,0)&amp;"th",IF(RIGHT(ROUND(D2,0),2)="12",ROUND(D2,0)&amp;"th",IF(RIGHT(ROUND(D2,0),2)="11",ROUND(D2,0)&amp;"th",IF(RIGHT(ROUND(D2,0),1)="1",ROUND(D2,0)&amp;"st",IF(RIGHT(ROUND(D2,0),1)="2",ROUND(D2,0)&amp;"nd",IF(RIGHT(ROUND(D2,0),1)="3",ROUND(D2,0)&amp;"rd",ROUND(D2,0)&amp;"th"))))))</f>
        <v>0th</v>
      </c>
    </row>
    <row r="3" spans="1:6" x14ac:dyDescent="0.2">
      <c r="A3" s="2" t="s">
        <v>113</v>
      </c>
      <c r="B3" s="2" t="s">
        <v>21</v>
      </c>
      <c r="C3" s="2">
        <v>2</v>
      </c>
      <c r="D3" s="2">
        <v>0</v>
      </c>
      <c r="E3" s="2">
        <v>2</v>
      </c>
      <c r="F3" s="2" t="str">
        <f t="shared" si="0"/>
        <v>0th</v>
      </c>
    </row>
    <row r="4" spans="1:6" x14ac:dyDescent="0.2">
      <c r="A4" s="2" t="s">
        <v>113</v>
      </c>
      <c r="B4" s="2" t="s">
        <v>21</v>
      </c>
      <c r="C4" s="2">
        <v>3</v>
      </c>
      <c r="D4" s="2">
        <v>0</v>
      </c>
      <c r="E4" s="2">
        <v>3</v>
      </c>
      <c r="F4" s="2" t="str">
        <f t="shared" si="0"/>
        <v>0th</v>
      </c>
    </row>
    <row r="5" spans="1:6" x14ac:dyDescent="0.2">
      <c r="A5" s="2" t="s">
        <v>113</v>
      </c>
      <c r="B5" s="2" t="s">
        <v>21</v>
      </c>
      <c r="C5" s="2">
        <v>4</v>
      </c>
      <c r="D5" s="2">
        <v>0</v>
      </c>
      <c r="E5" s="2">
        <v>4</v>
      </c>
      <c r="F5" s="2" t="str">
        <f t="shared" si="0"/>
        <v>0th</v>
      </c>
    </row>
    <row r="6" spans="1:6" x14ac:dyDescent="0.2">
      <c r="A6" s="2" t="s">
        <v>113</v>
      </c>
      <c r="B6" s="2" t="s">
        <v>21</v>
      </c>
      <c r="C6" s="2">
        <v>5</v>
      </c>
      <c r="D6" s="2">
        <v>0</v>
      </c>
      <c r="E6" s="2">
        <v>5</v>
      </c>
      <c r="F6" s="2" t="str">
        <f t="shared" si="0"/>
        <v>0th</v>
      </c>
    </row>
    <row r="7" spans="1:6" x14ac:dyDescent="0.2">
      <c r="A7" s="2" t="s">
        <v>113</v>
      </c>
      <c r="B7" s="2" t="s">
        <v>21</v>
      </c>
      <c r="C7" s="2">
        <v>6</v>
      </c>
      <c r="D7" s="2">
        <v>0.1</v>
      </c>
      <c r="E7" s="2">
        <v>6</v>
      </c>
      <c r="F7" s="2" t="str">
        <f t="shared" si="0"/>
        <v>0th</v>
      </c>
    </row>
    <row r="8" spans="1:6" x14ac:dyDescent="0.2">
      <c r="A8" s="2" t="s">
        <v>113</v>
      </c>
      <c r="B8" s="2" t="s">
        <v>21</v>
      </c>
      <c r="C8" s="2">
        <v>7</v>
      </c>
      <c r="D8" s="2">
        <v>0.3</v>
      </c>
      <c r="E8" s="2">
        <v>7</v>
      </c>
      <c r="F8" s="2" t="str">
        <f t="shared" si="0"/>
        <v>0th</v>
      </c>
    </row>
    <row r="9" spans="1:6" x14ac:dyDescent="0.2">
      <c r="A9" s="2" t="s">
        <v>113</v>
      </c>
      <c r="B9" s="2" t="s">
        <v>21</v>
      </c>
      <c r="C9" s="2">
        <v>8</v>
      </c>
      <c r="D9" s="2">
        <v>0.6</v>
      </c>
      <c r="E9" s="2">
        <v>8</v>
      </c>
      <c r="F9" s="2" t="str">
        <f t="shared" si="0"/>
        <v>1st</v>
      </c>
    </row>
    <row r="10" spans="1:6" x14ac:dyDescent="0.2">
      <c r="A10" s="2" t="s">
        <v>113</v>
      </c>
      <c r="B10" s="2" t="s">
        <v>21</v>
      </c>
      <c r="C10" s="2">
        <v>9</v>
      </c>
      <c r="D10" s="2">
        <v>1</v>
      </c>
      <c r="E10" s="2">
        <v>9</v>
      </c>
      <c r="F10" s="2" t="str">
        <f t="shared" si="0"/>
        <v>1st</v>
      </c>
    </row>
    <row r="11" spans="1:6" x14ac:dyDescent="0.2">
      <c r="A11" s="2" t="s">
        <v>113</v>
      </c>
      <c r="B11" s="2" t="s">
        <v>21</v>
      </c>
      <c r="C11" s="2">
        <v>10</v>
      </c>
      <c r="D11" s="2">
        <v>1.5</v>
      </c>
      <c r="E11" s="2">
        <v>10</v>
      </c>
      <c r="F11" s="2" t="str">
        <f t="shared" si="0"/>
        <v>2nd</v>
      </c>
    </row>
    <row r="12" spans="1:6" x14ac:dyDescent="0.2">
      <c r="A12" s="2" t="s">
        <v>113</v>
      </c>
      <c r="B12" s="2" t="s">
        <v>21</v>
      </c>
      <c r="C12" s="2">
        <v>11</v>
      </c>
      <c r="D12" s="2">
        <v>2.2000000000000002</v>
      </c>
      <c r="E12" s="2">
        <v>11</v>
      </c>
      <c r="F12" s="2" t="str">
        <f t="shared" si="0"/>
        <v>2nd</v>
      </c>
    </row>
    <row r="13" spans="1:6" x14ac:dyDescent="0.2">
      <c r="A13" s="2" t="s">
        <v>113</v>
      </c>
      <c r="B13" s="2" t="s">
        <v>21</v>
      </c>
      <c r="C13" s="2">
        <v>12</v>
      </c>
      <c r="D13" s="2">
        <v>3.1</v>
      </c>
      <c r="E13" s="2">
        <v>12</v>
      </c>
      <c r="F13" s="2" t="str">
        <f t="shared" si="0"/>
        <v>3rd</v>
      </c>
    </row>
    <row r="14" spans="1:6" x14ac:dyDescent="0.2">
      <c r="A14" s="2" t="s">
        <v>113</v>
      </c>
      <c r="B14" s="2" t="s">
        <v>21</v>
      </c>
      <c r="C14" s="2">
        <v>13</v>
      </c>
      <c r="D14" s="2">
        <v>4.2</v>
      </c>
      <c r="E14" s="2">
        <v>13</v>
      </c>
      <c r="F14" s="2" t="str">
        <f t="shared" si="0"/>
        <v>4th</v>
      </c>
    </row>
    <row r="15" spans="1:6" x14ac:dyDescent="0.2">
      <c r="A15" s="2" t="s">
        <v>113</v>
      </c>
      <c r="B15" s="2" t="s">
        <v>21</v>
      </c>
      <c r="C15" s="2">
        <v>14</v>
      </c>
      <c r="D15" s="2">
        <v>5.5</v>
      </c>
      <c r="E15" s="2">
        <v>14</v>
      </c>
      <c r="F15" s="2" t="str">
        <f t="shared" si="0"/>
        <v>6th</v>
      </c>
    </row>
    <row r="16" spans="1:6" x14ac:dyDescent="0.2">
      <c r="A16" s="2" t="s">
        <v>113</v>
      </c>
      <c r="B16" s="2" t="s">
        <v>21</v>
      </c>
      <c r="C16" s="2">
        <v>15</v>
      </c>
      <c r="D16" s="2">
        <v>7.2</v>
      </c>
      <c r="E16" s="2">
        <v>15</v>
      </c>
      <c r="F16" s="2" t="str">
        <f t="shared" si="0"/>
        <v>7th</v>
      </c>
    </row>
    <row r="17" spans="1:6" x14ac:dyDescent="0.2">
      <c r="A17" s="2" t="s">
        <v>113</v>
      </c>
      <c r="B17" s="2" t="s">
        <v>21</v>
      </c>
      <c r="C17" s="2">
        <v>16</v>
      </c>
      <c r="D17" s="2">
        <v>9.1999999999999993</v>
      </c>
      <c r="E17" s="2">
        <v>16</v>
      </c>
      <c r="F17" s="2" t="str">
        <f t="shared" si="0"/>
        <v>9th</v>
      </c>
    </row>
    <row r="18" spans="1:6" x14ac:dyDescent="0.2">
      <c r="A18" s="2" t="s">
        <v>113</v>
      </c>
      <c r="B18" s="2" t="s">
        <v>21</v>
      </c>
      <c r="C18" s="2">
        <v>17</v>
      </c>
      <c r="D18" s="2">
        <v>11.5</v>
      </c>
      <c r="E18" s="2">
        <v>17</v>
      </c>
      <c r="F18" s="2" t="str">
        <f t="shared" ref="F18:F46" si="1">IF(RIGHT(ROUND(D18,0),2)="13",ROUND(D18,0)&amp;"th",IF(RIGHT(ROUND(D18,0),2)="12",ROUND(D18,0)&amp;"th",IF(RIGHT(ROUND(D18,0),2)="11",ROUND(D18,0)&amp;"th",IF(RIGHT(ROUND(D18,0),1)="1",ROUND(D18,0)&amp;"st",IF(RIGHT(ROUND(D18,0),1)="2",ROUND(D18,0)&amp;"nd",IF(RIGHT(ROUND(D18,0),1)="3",ROUND(D18,0)&amp;"rd",ROUND(D18,0)&amp;"th"))))))</f>
        <v>12th</v>
      </c>
    </row>
    <row r="19" spans="1:6" x14ac:dyDescent="0.2">
      <c r="A19" s="2" t="s">
        <v>113</v>
      </c>
      <c r="B19" s="2" t="s">
        <v>21</v>
      </c>
      <c r="C19" s="2">
        <v>18</v>
      </c>
      <c r="D19" s="2">
        <v>14.2</v>
      </c>
      <c r="E19" s="2">
        <v>18</v>
      </c>
      <c r="F19" s="2" t="str">
        <f t="shared" si="1"/>
        <v>14th</v>
      </c>
    </row>
    <row r="20" spans="1:6" x14ac:dyDescent="0.2">
      <c r="A20" s="2" t="s">
        <v>113</v>
      </c>
      <c r="B20" s="2" t="s">
        <v>21</v>
      </c>
      <c r="C20" s="2">
        <v>19</v>
      </c>
      <c r="D20" s="2">
        <v>17.399999999999999</v>
      </c>
      <c r="E20" s="2">
        <v>19</v>
      </c>
      <c r="F20" s="2" t="str">
        <f t="shared" si="1"/>
        <v>17th</v>
      </c>
    </row>
    <row r="21" spans="1:6" x14ac:dyDescent="0.2">
      <c r="A21" s="2" t="s">
        <v>113</v>
      </c>
      <c r="B21" s="2" t="s">
        <v>21</v>
      </c>
      <c r="C21" s="2">
        <v>20</v>
      </c>
      <c r="D21" s="2">
        <v>21.1</v>
      </c>
      <c r="E21" s="2">
        <v>20</v>
      </c>
      <c r="F21" s="2" t="str">
        <f t="shared" si="1"/>
        <v>21st</v>
      </c>
    </row>
    <row r="22" spans="1:6" x14ac:dyDescent="0.2">
      <c r="A22" s="2" t="s">
        <v>113</v>
      </c>
      <c r="B22" s="2" t="s">
        <v>21</v>
      </c>
      <c r="C22" s="2">
        <v>21</v>
      </c>
      <c r="D22" s="2">
        <v>25.3</v>
      </c>
      <c r="E22" s="2">
        <v>21</v>
      </c>
      <c r="F22" s="2" t="str">
        <f t="shared" si="1"/>
        <v>25th</v>
      </c>
    </row>
    <row r="23" spans="1:6" x14ac:dyDescent="0.2">
      <c r="A23" s="2" t="s">
        <v>113</v>
      </c>
      <c r="B23" s="2" t="s">
        <v>21</v>
      </c>
      <c r="C23" s="2">
        <v>22</v>
      </c>
      <c r="D23" s="2">
        <v>29.9</v>
      </c>
      <c r="E23" s="2">
        <v>22</v>
      </c>
      <c r="F23" s="2" t="str">
        <f t="shared" si="1"/>
        <v>30th</v>
      </c>
    </row>
    <row r="24" spans="1:6" x14ac:dyDescent="0.2">
      <c r="A24" s="2" t="s">
        <v>113</v>
      </c>
      <c r="B24" s="2" t="s">
        <v>21</v>
      </c>
      <c r="C24" s="2">
        <v>23</v>
      </c>
      <c r="D24" s="2">
        <v>35.1</v>
      </c>
      <c r="E24" s="2">
        <v>23</v>
      </c>
      <c r="F24" s="2" t="str">
        <f t="shared" si="1"/>
        <v>35th</v>
      </c>
    </row>
    <row r="25" spans="1:6" x14ac:dyDescent="0.2">
      <c r="A25" s="2" t="s">
        <v>113</v>
      </c>
      <c r="B25" s="2" t="s">
        <v>21</v>
      </c>
      <c r="C25" s="2">
        <v>24</v>
      </c>
      <c r="D25" s="2">
        <v>40.799999999999997</v>
      </c>
      <c r="E25" s="2">
        <v>24</v>
      </c>
      <c r="F25" s="2" t="str">
        <f t="shared" si="1"/>
        <v>41st</v>
      </c>
    </row>
    <row r="26" spans="1:6" x14ac:dyDescent="0.2">
      <c r="A26" s="2" t="s">
        <v>113</v>
      </c>
      <c r="B26" s="2" t="s">
        <v>21</v>
      </c>
      <c r="C26" s="2">
        <v>25</v>
      </c>
      <c r="D26" s="2">
        <v>46.9</v>
      </c>
      <c r="E26" s="2">
        <v>25</v>
      </c>
      <c r="F26" s="2" t="str">
        <f t="shared" si="1"/>
        <v>47th</v>
      </c>
    </row>
    <row r="27" spans="1:6" x14ac:dyDescent="0.2">
      <c r="A27" s="2" t="s">
        <v>113</v>
      </c>
      <c r="B27" s="2" t="s">
        <v>21</v>
      </c>
      <c r="C27" s="2">
        <v>26</v>
      </c>
      <c r="D27" s="2">
        <v>53.1</v>
      </c>
      <c r="E27" s="2">
        <v>26</v>
      </c>
      <c r="F27" s="2" t="str">
        <f t="shared" si="1"/>
        <v>53rd</v>
      </c>
    </row>
    <row r="28" spans="1:6" x14ac:dyDescent="0.2">
      <c r="A28" s="2" t="s">
        <v>113</v>
      </c>
      <c r="B28" s="2" t="s">
        <v>21</v>
      </c>
      <c r="C28" s="2">
        <v>27</v>
      </c>
      <c r="D28" s="2">
        <v>59.3</v>
      </c>
      <c r="E28" s="2">
        <v>27</v>
      </c>
      <c r="F28" s="2" t="str">
        <f t="shared" si="1"/>
        <v>59th</v>
      </c>
    </row>
    <row r="29" spans="1:6" x14ac:dyDescent="0.2">
      <c r="A29" s="2" t="s">
        <v>113</v>
      </c>
      <c r="B29" s="2" t="s">
        <v>21</v>
      </c>
      <c r="C29" s="2">
        <v>28</v>
      </c>
      <c r="D29" s="2">
        <v>65.5</v>
      </c>
      <c r="E29" s="2">
        <v>28</v>
      </c>
      <c r="F29" s="2" t="str">
        <f t="shared" si="1"/>
        <v>66th</v>
      </c>
    </row>
    <row r="30" spans="1:6" x14ac:dyDescent="0.2">
      <c r="A30" s="2" t="s">
        <v>113</v>
      </c>
      <c r="B30" s="2" t="s">
        <v>21</v>
      </c>
      <c r="C30" s="2">
        <v>29</v>
      </c>
      <c r="D30" s="2">
        <v>71.400000000000006</v>
      </c>
      <c r="E30" s="2">
        <v>29</v>
      </c>
      <c r="F30" s="2" t="str">
        <f t="shared" si="1"/>
        <v>71st</v>
      </c>
    </row>
    <row r="31" spans="1:6" x14ac:dyDescent="0.2">
      <c r="A31" s="2" t="s">
        <v>113</v>
      </c>
      <c r="B31" s="2" t="s">
        <v>21</v>
      </c>
      <c r="C31" s="2">
        <v>30</v>
      </c>
      <c r="D31" s="2">
        <v>76.900000000000006</v>
      </c>
      <c r="E31" s="2">
        <v>30</v>
      </c>
      <c r="F31" s="2" t="str">
        <f t="shared" si="1"/>
        <v>77th</v>
      </c>
    </row>
    <row r="32" spans="1:6" x14ac:dyDescent="0.2">
      <c r="A32" s="2" t="s">
        <v>113</v>
      </c>
      <c r="B32" s="2" t="s">
        <v>21</v>
      </c>
      <c r="C32" s="2">
        <v>31</v>
      </c>
      <c r="D32" s="2">
        <v>81.8</v>
      </c>
      <c r="E32" s="2">
        <v>31</v>
      </c>
      <c r="F32" s="2" t="str">
        <f t="shared" si="1"/>
        <v>82nd</v>
      </c>
    </row>
    <row r="33" spans="1:6" x14ac:dyDescent="0.2">
      <c r="A33" s="2" t="s">
        <v>113</v>
      </c>
      <c r="B33" s="2" t="s">
        <v>21</v>
      </c>
      <c r="C33" s="2">
        <v>32</v>
      </c>
      <c r="D33" s="2">
        <v>86</v>
      </c>
      <c r="E33" s="2">
        <v>32</v>
      </c>
      <c r="F33" s="2" t="str">
        <f t="shared" si="1"/>
        <v>86th</v>
      </c>
    </row>
    <row r="34" spans="1:6" x14ac:dyDescent="0.2">
      <c r="A34" s="2" t="s">
        <v>113</v>
      </c>
      <c r="B34" s="2" t="s">
        <v>21</v>
      </c>
      <c r="C34" s="2">
        <v>33</v>
      </c>
      <c r="D34" s="2">
        <v>89.6</v>
      </c>
      <c r="E34" s="2">
        <v>33</v>
      </c>
      <c r="F34" s="2" t="str">
        <f t="shared" si="1"/>
        <v>90th</v>
      </c>
    </row>
    <row r="35" spans="1:6" x14ac:dyDescent="0.2">
      <c r="A35" s="2" t="s">
        <v>113</v>
      </c>
      <c r="B35" s="2" t="s">
        <v>21</v>
      </c>
      <c r="C35" s="2">
        <v>34</v>
      </c>
      <c r="D35" s="2">
        <v>92.4</v>
      </c>
      <c r="E35" s="2">
        <v>34</v>
      </c>
      <c r="F35" s="2" t="str">
        <f t="shared" si="1"/>
        <v>92nd</v>
      </c>
    </row>
    <row r="36" spans="1:6" x14ac:dyDescent="0.2">
      <c r="A36" s="2" t="s">
        <v>113</v>
      </c>
      <c r="B36" s="2" t="s">
        <v>21</v>
      </c>
      <c r="C36" s="2">
        <v>35</v>
      </c>
      <c r="D36" s="2">
        <v>94.7</v>
      </c>
      <c r="E36" s="2">
        <v>35</v>
      </c>
      <c r="F36" s="2" t="str">
        <f t="shared" si="1"/>
        <v>95th</v>
      </c>
    </row>
    <row r="37" spans="1:6" x14ac:dyDescent="0.2">
      <c r="A37" s="2" t="s">
        <v>113</v>
      </c>
      <c r="B37" s="2" t="s">
        <v>21</v>
      </c>
      <c r="C37" s="2">
        <v>36</v>
      </c>
      <c r="D37" s="2">
        <v>96.5</v>
      </c>
      <c r="E37" s="2">
        <v>36</v>
      </c>
      <c r="F37" s="2" t="str">
        <f t="shared" si="1"/>
        <v>97th</v>
      </c>
    </row>
    <row r="38" spans="1:6" x14ac:dyDescent="0.2">
      <c r="A38" s="2" t="s">
        <v>113</v>
      </c>
      <c r="B38" s="2" t="s">
        <v>21</v>
      </c>
      <c r="C38" s="2">
        <v>37</v>
      </c>
      <c r="D38" s="2">
        <v>97.8</v>
      </c>
      <c r="E38" s="2">
        <v>37</v>
      </c>
      <c r="F38" s="2" t="str">
        <f t="shared" si="1"/>
        <v>98th</v>
      </c>
    </row>
    <row r="39" spans="1:6" x14ac:dyDescent="0.2">
      <c r="A39" s="2" t="s">
        <v>113</v>
      </c>
      <c r="B39" s="2" t="s">
        <v>21</v>
      </c>
      <c r="C39" s="2">
        <v>38</v>
      </c>
      <c r="D39" s="2">
        <v>98.7</v>
      </c>
      <c r="E39" s="2">
        <v>38</v>
      </c>
      <c r="F39" s="2" t="str">
        <f t="shared" si="1"/>
        <v>99th</v>
      </c>
    </row>
    <row r="40" spans="1:6" x14ac:dyDescent="0.2">
      <c r="A40" s="2" t="s">
        <v>113</v>
      </c>
      <c r="B40" s="2" t="s">
        <v>21</v>
      </c>
      <c r="C40" s="2">
        <v>39</v>
      </c>
      <c r="D40" s="2">
        <v>99.3</v>
      </c>
      <c r="E40" s="2">
        <v>39</v>
      </c>
      <c r="F40" s="2" t="str">
        <f t="shared" si="1"/>
        <v>99th</v>
      </c>
    </row>
    <row r="41" spans="1:6" x14ac:dyDescent="0.2">
      <c r="A41" s="2" t="s">
        <v>113</v>
      </c>
      <c r="B41" s="2" t="s">
        <v>21</v>
      </c>
      <c r="C41" s="2">
        <v>40</v>
      </c>
      <c r="D41" s="2">
        <v>99.6</v>
      </c>
      <c r="E41" s="2">
        <v>40</v>
      </c>
      <c r="F41" s="2" t="str">
        <f t="shared" si="1"/>
        <v>100th</v>
      </c>
    </row>
    <row r="42" spans="1:6" x14ac:dyDescent="0.2">
      <c r="A42" s="2" t="s">
        <v>113</v>
      </c>
      <c r="B42" s="2" t="s">
        <v>21</v>
      </c>
      <c r="C42" s="2">
        <v>41</v>
      </c>
      <c r="D42" s="2">
        <v>99.9</v>
      </c>
      <c r="E42" s="2">
        <v>41</v>
      </c>
      <c r="F42" s="2" t="str">
        <f t="shared" si="1"/>
        <v>100th</v>
      </c>
    </row>
    <row r="43" spans="1:6" x14ac:dyDescent="0.2">
      <c r="A43" s="2" t="s">
        <v>113</v>
      </c>
      <c r="B43" s="2" t="s">
        <v>21</v>
      </c>
      <c r="C43" s="2">
        <v>42</v>
      </c>
      <c r="D43" s="2">
        <v>99.9</v>
      </c>
      <c r="E43" s="2">
        <v>42</v>
      </c>
      <c r="F43" s="2" t="str">
        <f t="shared" si="1"/>
        <v>100th</v>
      </c>
    </row>
    <row r="44" spans="1:6" x14ac:dyDescent="0.2">
      <c r="A44" s="2" t="s">
        <v>113</v>
      </c>
      <c r="B44" s="2" t="s">
        <v>21</v>
      </c>
      <c r="C44" s="2">
        <v>43</v>
      </c>
      <c r="D44" s="2">
        <v>99.9</v>
      </c>
      <c r="E44" s="2">
        <v>43</v>
      </c>
      <c r="F44" s="2" t="str">
        <f t="shared" si="1"/>
        <v>100th</v>
      </c>
    </row>
    <row r="45" spans="1:6" x14ac:dyDescent="0.2">
      <c r="A45" s="2" t="s">
        <v>113</v>
      </c>
      <c r="B45" s="2" t="s">
        <v>21</v>
      </c>
      <c r="C45" s="2">
        <v>44</v>
      </c>
      <c r="D45" s="2">
        <v>99.9</v>
      </c>
      <c r="E45" s="2">
        <v>44</v>
      </c>
      <c r="F45" s="2" t="str">
        <f t="shared" si="1"/>
        <v>100th</v>
      </c>
    </row>
    <row r="46" spans="1:6" x14ac:dyDescent="0.2">
      <c r="A46" s="2" t="s">
        <v>113</v>
      </c>
      <c r="B46" s="2" t="s">
        <v>21</v>
      </c>
      <c r="C46" s="2">
        <v>45</v>
      </c>
      <c r="D46" s="2">
        <v>99.9</v>
      </c>
      <c r="E46" s="2">
        <v>45</v>
      </c>
      <c r="F46" s="2" t="str">
        <f t="shared" si="1"/>
        <v>100th</v>
      </c>
    </row>
    <row r="47" spans="1:6" x14ac:dyDescent="0.2">
      <c r="A47" s="2" t="s">
        <v>113</v>
      </c>
      <c r="B47" s="2" t="s">
        <v>3</v>
      </c>
      <c r="C47" s="2">
        <v>0</v>
      </c>
      <c r="D47" s="2">
        <v>0.1</v>
      </c>
      <c r="E47" s="2">
        <v>1</v>
      </c>
      <c r="F47" s="2" t="str">
        <f t="shared" ref="F47:F76" si="2">IF(RIGHT(ROUND(D47,0),2)="13",ROUND(D47,0)&amp;"th",IF(RIGHT(ROUND(D47,0),2)="12",ROUND(D47,0)&amp;"th",IF(RIGHT(ROUND(D47,0),2)="11",ROUND(D47,0)&amp;"th",IF(RIGHT(ROUND(D47,0),1)="1",ROUND(D47,0)&amp;"st",IF(RIGHT(ROUND(D47,0),1)="2",ROUND(D47,0)&amp;"nd",IF(RIGHT(ROUND(D47,0),1)="3",ROUND(D47,0)&amp;"rd",ROUND(D47,0)&amp;"th"))))))</f>
        <v>0th</v>
      </c>
    </row>
    <row r="48" spans="1:6" x14ac:dyDescent="0.2">
      <c r="A48" s="2" t="s">
        <v>113</v>
      </c>
      <c r="B48" s="2" t="s">
        <v>3</v>
      </c>
      <c r="C48" s="2">
        <v>1</v>
      </c>
      <c r="D48" s="2">
        <v>0.1</v>
      </c>
      <c r="E48" s="2">
        <v>1</v>
      </c>
      <c r="F48" s="2" t="str">
        <f t="shared" si="2"/>
        <v>0th</v>
      </c>
    </row>
    <row r="49" spans="1:6" x14ac:dyDescent="0.2">
      <c r="A49" s="2" t="s">
        <v>113</v>
      </c>
      <c r="B49" s="2" t="s">
        <v>3</v>
      </c>
      <c r="C49" s="2">
        <v>2</v>
      </c>
      <c r="D49" s="2">
        <v>0.1</v>
      </c>
      <c r="E49" s="2">
        <v>1</v>
      </c>
      <c r="F49" s="2" t="str">
        <f t="shared" si="2"/>
        <v>0th</v>
      </c>
    </row>
    <row r="50" spans="1:6" x14ac:dyDescent="0.2">
      <c r="A50" s="2" t="s">
        <v>113</v>
      </c>
      <c r="B50" s="2" t="s">
        <v>3</v>
      </c>
      <c r="C50" s="2">
        <v>3</v>
      </c>
      <c r="D50" s="2">
        <v>0.1</v>
      </c>
      <c r="E50" s="2">
        <v>1</v>
      </c>
      <c r="F50" s="2" t="str">
        <f t="shared" si="2"/>
        <v>0th</v>
      </c>
    </row>
    <row r="51" spans="1:6" x14ac:dyDescent="0.2">
      <c r="A51" s="2" t="s">
        <v>113</v>
      </c>
      <c r="B51" s="2" t="s">
        <v>3</v>
      </c>
      <c r="C51" s="2">
        <v>4</v>
      </c>
      <c r="D51" s="2">
        <v>0.1</v>
      </c>
      <c r="E51" s="2">
        <v>1</v>
      </c>
      <c r="F51" s="2" t="str">
        <f t="shared" si="2"/>
        <v>0th</v>
      </c>
    </row>
    <row r="52" spans="1:6" x14ac:dyDescent="0.2">
      <c r="A52" s="2" t="s">
        <v>113</v>
      </c>
      <c r="B52" s="2" t="s">
        <v>3</v>
      </c>
      <c r="C52" s="2">
        <v>5</v>
      </c>
      <c r="D52" s="2">
        <v>0.3</v>
      </c>
      <c r="E52" s="2">
        <v>2</v>
      </c>
      <c r="F52" s="2" t="str">
        <f t="shared" si="2"/>
        <v>0th</v>
      </c>
    </row>
    <row r="53" spans="1:6" x14ac:dyDescent="0.2">
      <c r="A53" s="2" t="s">
        <v>113</v>
      </c>
      <c r="B53" s="2" t="s">
        <v>3</v>
      </c>
      <c r="C53" s="2">
        <v>6</v>
      </c>
      <c r="D53" s="2">
        <v>0.3</v>
      </c>
      <c r="E53" s="2">
        <v>2</v>
      </c>
      <c r="F53" s="2" t="str">
        <f t="shared" si="2"/>
        <v>0th</v>
      </c>
    </row>
    <row r="54" spans="1:6" x14ac:dyDescent="0.2">
      <c r="A54" s="2" t="s">
        <v>113</v>
      </c>
      <c r="B54" s="2" t="s">
        <v>3</v>
      </c>
      <c r="C54" s="2">
        <v>7</v>
      </c>
      <c r="D54" s="2">
        <v>0.3</v>
      </c>
      <c r="E54" s="2">
        <v>2</v>
      </c>
      <c r="F54" s="2" t="str">
        <f t="shared" si="2"/>
        <v>0th</v>
      </c>
    </row>
    <row r="55" spans="1:6" x14ac:dyDescent="0.2">
      <c r="A55" s="2" t="s">
        <v>113</v>
      </c>
      <c r="B55" s="2" t="s">
        <v>3</v>
      </c>
      <c r="C55" s="2">
        <v>8</v>
      </c>
      <c r="D55" s="2">
        <v>0.3</v>
      </c>
      <c r="E55" s="2">
        <v>2</v>
      </c>
      <c r="F55" s="2" t="str">
        <f t="shared" si="2"/>
        <v>0th</v>
      </c>
    </row>
    <row r="56" spans="1:6" x14ac:dyDescent="0.2">
      <c r="A56" s="2" t="s">
        <v>113</v>
      </c>
      <c r="B56" s="2" t="s">
        <v>3</v>
      </c>
      <c r="C56" s="2">
        <v>9</v>
      </c>
      <c r="D56" s="2">
        <v>1.2</v>
      </c>
      <c r="E56" s="2">
        <v>3</v>
      </c>
      <c r="F56" s="2" t="str">
        <f t="shared" si="2"/>
        <v>1st</v>
      </c>
    </row>
    <row r="57" spans="1:6" x14ac:dyDescent="0.2">
      <c r="A57" s="2" t="s">
        <v>113</v>
      </c>
      <c r="B57" s="2" t="s">
        <v>3</v>
      </c>
      <c r="C57" s="2">
        <v>10</v>
      </c>
      <c r="D57" s="2">
        <v>1.2</v>
      </c>
      <c r="E57" s="2">
        <v>3</v>
      </c>
      <c r="F57" s="2" t="str">
        <f t="shared" si="2"/>
        <v>1st</v>
      </c>
    </row>
    <row r="58" spans="1:6" x14ac:dyDescent="0.2">
      <c r="A58" s="2" t="s">
        <v>113</v>
      </c>
      <c r="B58" s="2" t="s">
        <v>3</v>
      </c>
      <c r="C58" s="2">
        <v>11</v>
      </c>
      <c r="D58" s="2">
        <v>1.2</v>
      </c>
      <c r="E58" s="2">
        <v>3</v>
      </c>
      <c r="F58" s="2" t="str">
        <f t="shared" si="2"/>
        <v>1st</v>
      </c>
    </row>
    <row r="59" spans="1:6" x14ac:dyDescent="0.2">
      <c r="A59" s="2" t="s">
        <v>113</v>
      </c>
      <c r="B59" s="2" t="s">
        <v>3</v>
      </c>
      <c r="C59" s="2">
        <v>12</v>
      </c>
      <c r="D59" s="2">
        <v>3.4</v>
      </c>
      <c r="E59" s="2">
        <v>4</v>
      </c>
      <c r="F59" s="2" t="str">
        <f t="shared" si="2"/>
        <v>3rd</v>
      </c>
    </row>
    <row r="60" spans="1:6" x14ac:dyDescent="0.2">
      <c r="A60" s="2" t="s">
        <v>113</v>
      </c>
      <c r="B60" s="2" t="s">
        <v>3</v>
      </c>
      <c r="C60" s="2">
        <v>13</v>
      </c>
      <c r="D60" s="2">
        <v>3.4</v>
      </c>
      <c r="E60" s="2">
        <v>4</v>
      </c>
      <c r="F60" s="2" t="str">
        <f t="shared" si="2"/>
        <v>3rd</v>
      </c>
    </row>
    <row r="61" spans="1:6" x14ac:dyDescent="0.2">
      <c r="A61" s="2" t="s">
        <v>113</v>
      </c>
      <c r="B61" s="2" t="s">
        <v>3</v>
      </c>
      <c r="C61" s="2">
        <v>14</v>
      </c>
      <c r="D61" s="2">
        <v>8.1</v>
      </c>
      <c r="E61" s="2">
        <v>5</v>
      </c>
      <c r="F61" s="2" t="str">
        <f t="shared" si="2"/>
        <v>8th</v>
      </c>
    </row>
    <row r="62" spans="1:6" x14ac:dyDescent="0.2">
      <c r="A62" s="2" t="s">
        <v>113</v>
      </c>
      <c r="B62" s="2" t="s">
        <v>3</v>
      </c>
      <c r="C62" s="2">
        <v>15</v>
      </c>
      <c r="D62" s="2">
        <v>8.1</v>
      </c>
      <c r="E62" s="2">
        <v>5</v>
      </c>
      <c r="F62" s="2" t="str">
        <f t="shared" si="2"/>
        <v>8th</v>
      </c>
    </row>
    <row r="63" spans="1:6" x14ac:dyDescent="0.2">
      <c r="A63" s="2" t="s">
        <v>113</v>
      </c>
      <c r="B63" s="2" t="s">
        <v>3</v>
      </c>
      <c r="C63" s="2">
        <v>16</v>
      </c>
      <c r="D63" s="2">
        <v>17.399999999999999</v>
      </c>
      <c r="E63" s="2">
        <v>6</v>
      </c>
      <c r="F63" s="2" t="str">
        <f t="shared" si="2"/>
        <v>17th</v>
      </c>
    </row>
    <row r="64" spans="1:6" x14ac:dyDescent="0.2">
      <c r="A64" s="2" t="s">
        <v>113</v>
      </c>
      <c r="B64" s="2" t="s">
        <v>3</v>
      </c>
      <c r="C64" s="2">
        <v>17</v>
      </c>
      <c r="D64" s="2">
        <v>17.399999999999999</v>
      </c>
      <c r="E64" s="2">
        <v>6</v>
      </c>
      <c r="F64" s="2" t="str">
        <f t="shared" si="2"/>
        <v>17th</v>
      </c>
    </row>
    <row r="65" spans="1:6" x14ac:dyDescent="0.2">
      <c r="A65" s="2" t="s">
        <v>113</v>
      </c>
      <c r="B65" s="2" t="s">
        <v>3</v>
      </c>
      <c r="C65" s="2">
        <v>18</v>
      </c>
      <c r="D65" s="2">
        <v>17.399999999999999</v>
      </c>
      <c r="E65" s="2">
        <v>6</v>
      </c>
      <c r="F65" s="2" t="str">
        <f t="shared" si="2"/>
        <v>17th</v>
      </c>
    </row>
    <row r="66" spans="1:6" x14ac:dyDescent="0.2">
      <c r="A66" s="2" t="s">
        <v>113</v>
      </c>
      <c r="B66" s="2" t="s">
        <v>3</v>
      </c>
      <c r="C66" s="2">
        <v>19</v>
      </c>
      <c r="D66" s="2">
        <v>31</v>
      </c>
      <c r="E66" s="2">
        <v>7</v>
      </c>
      <c r="F66" s="2" t="str">
        <f t="shared" si="2"/>
        <v>31st</v>
      </c>
    </row>
    <row r="67" spans="1:6" x14ac:dyDescent="0.2">
      <c r="A67" s="2" t="s">
        <v>113</v>
      </c>
      <c r="B67" s="2" t="s">
        <v>3</v>
      </c>
      <c r="C67" s="2">
        <v>20</v>
      </c>
      <c r="D67" s="2">
        <v>31</v>
      </c>
      <c r="E67" s="2">
        <v>7</v>
      </c>
      <c r="F67" s="2" t="str">
        <f t="shared" si="2"/>
        <v>31st</v>
      </c>
    </row>
    <row r="68" spans="1:6" x14ac:dyDescent="0.2">
      <c r="A68" s="2" t="s">
        <v>113</v>
      </c>
      <c r="B68" s="2" t="s">
        <v>3</v>
      </c>
      <c r="C68" s="2">
        <v>21</v>
      </c>
      <c r="D68" s="2">
        <v>31</v>
      </c>
      <c r="E68" s="2">
        <v>7</v>
      </c>
      <c r="F68" s="2" t="str">
        <f t="shared" si="2"/>
        <v>31st</v>
      </c>
    </row>
    <row r="69" spans="1:6" x14ac:dyDescent="0.2">
      <c r="A69" s="2" t="s">
        <v>113</v>
      </c>
      <c r="B69" s="2" t="s">
        <v>3</v>
      </c>
      <c r="C69" s="2">
        <v>22</v>
      </c>
      <c r="D69" s="2">
        <v>47.6</v>
      </c>
      <c r="E69" s="2">
        <v>8</v>
      </c>
      <c r="F69" s="2" t="str">
        <f t="shared" si="2"/>
        <v>48th</v>
      </c>
    </row>
    <row r="70" spans="1:6" x14ac:dyDescent="0.2">
      <c r="A70" s="2" t="s">
        <v>113</v>
      </c>
      <c r="B70" s="2" t="s">
        <v>3</v>
      </c>
      <c r="C70" s="2">
        <v>23</v>
      </c>
      <c r="D70" s="2">
        <v>47.6</v>
      </c>
      <c r="E70" s="2">
        <v>8</v>
      </c>
      <c r="F70" s="2" t="str">
        <f t="shared" si="2"/>
        <v>48th</v>
      </c>
    </row>
    <row r="71" spans="1:6" x14ac:dyDescent="0.2">
      <c r="A71" s="2" t="s">
        <v>113</v>
      </c>
      <c r="B71" s="2" t="s">
        <v>3</v>
      </c>
      <c r="C71" s="2">
        <v>24</v>
      </c>
      <c r="D71" s="2">
        <v>47.6</v>
      </c>
      <c r="E71" s="2">
        <v>8</v>
      </c>
      <c r="F71" s="2" t="str">
        <f t="shared" si="2"/>
        <v>48th</v>
      </c>
    </row>
    <row r="72" spans="1:6" x14ac:dyDescent="0.2">
      <c r="A72" s="2" t="s">
        <v>113</v>
      </c>
      <c r="B72" s="2" t="s">
        <v>3</v>
      </c>
      <c r="C72" s="2">
        <v>25</v>
      </c>
      <c r="D72" s="2">
        <v>61.6</v>
      </c>
      <c r="E72" s="2">
        <v>9</v>
      </c>
      <c r="F72" s="2" t="str">
        <f t="shared" si="2"/>
        <v>62nd</v>
      </c>
    </row>
    <row r="73" spans="1:6" x14ac:dyDescent="0.2">
      <c r="A73" s="2" t="s">
        <v>113</v>
      </c>
      <c r="B73" s="2" t="s">
        <v>3</v>
      </c>
      <c r="C73" s="2">
        <v>26</v>
      </c>
      <c r="D73" s="2">
        <v>61.6</v>
      </c>
      <c r="E73" s="2">
        <v>9</v>
      </c>
      <c r="F73" s="2" t="str">
        <f t="shared" si="2"/>
        <v>62nd</v>
      </c>
    </row>
    <row r="74" spans="1:6" x14ac:dyDescent="0.2">
      <c r="A74" s="2" t="s">
        <v>113</v>
      </c>
      <c r="B74" s="2" t="s">
        <v>3</v>
      </c>
      <c r="C74" s="2">
        <v>27</v>
      </c>
      <c r="D74" s="2">
        <v>61.6</v>
      </c>
      <c r="E74" s="2">
        <v>9</v>
      </c>
      <c r="F74" s="2" t="str">
        <f t="shared" si="2"/>
        <v>62nd</v>
      </c>
    </row>
    <row r="75" spans="1:6" x14ac:dyDescent="0.2">
      <c r="A75" s="2" t="s">
        <v>113</v>
      </c>
      <c r="B75" s="2" t="s">
        <v>3</v>
      </c>
      <c r="C75" s="2">
        <v>28</v>
      </c>
      <c r="D75" s="2">
        <v>61.6</v>
      </c>
      <c r="E75" s="2">
        <v>9</v>
      </c>
      <c r="F75" s="2" t="str">
        <f t="shared" si="2"/>
        <v>62nd</v>
      </c>
    </row>
    <row r="76" spans="1:6" x14ac:dyDescent="0.2">
      <c r="A76" s="2" t="s">
        <v>113</v>
      </c>
      <c r="B76" s="2" t="s">
        <v>3</v>
      </c>
      <c r="C76" s="2">
        <v>29</v>
      </c>
      <c r="D76" s="2">
        <v>74</v>
      </c>
      <c r="E76" s="2">
        <v>10</v>
      </c>
      <c r="F76" s="2" t="str">
        <f t="shared" si="2"/>
        <v>74th</v>
      </c>
    </row>
    <row r="77" spans="1:6" x14ac:dyDescent="0.2">
      <c r="A77" s="2" t="s">
        <v>113</v>
      </c>
      <c r="B77" s="2" t="s">
        <v>3</v>
      </c>
      <c r="C77" s="2">
        <v>30</v>
      </c>
      <c r="D77" s="2">
        <v>74</v>
      </c>
      <c r="E77" s="2">
        <v>10</v>
      </c>
      <c r="F77" s="2" t="str">
        <f t="shared" ref="F77:F140" si="3">IF(RIGHT(ROUND(D77,0),2)="13",ROUND(D77,0)&amp;"th",IF(RIGHT(ROUND(D77,0),2)="12",ROUND(D77,0)&amp;"th",IF(RIGHT(ROUND(D77,0),2)="11",ROUND(D77,0)&amp;"th",IF(RIGHT(ROUND(D77,0),1)="1",ROUND(D77,0)&amp;"st",IF(RIGHT(ROUND(D77,0),1)="2",ROUND(D77,0)&amp;"nd",IF(RIGHT(ROUND(D77,0),1)="3",ROUND(D77,0)&amp;"rd",ROUND(D77,0)&amp;"th"))))))</f>
        <v>74th</v>
      </c>
    </row>
    <row r="78" spans="1:6" x14ac:dyDescent="0.2">
      <c r="A78" s="2" t="s">
        <v>113</v>
      </c>
      <c r="B78" s="2" t="s">
        <v>3</v>
      </c>
      <c r="C78" s="2">
        <v>31</v>
      </c>
      <c r="D78" s="2">
        <v>74</v>
      </c>
      <c r="E78" s="2">
        <v>10</v>
      </c>
      <c r="F78" s="2" t="str">
        <f t="shared" si="3"/>
        <v>74th</v>
      </c>
    </row>
    <row r="79" spans="1:6" x14ac:dyDescent="0.2">
      <c r="A79" s="2" t="s">
        <v>113</v>
      </c>
      <c r="B79" s="2" t="s">
        <v>3</v>
      </c>
      <c r="C79" s="2">
        <v>32</v>
      </c>
      <c r="D79" s="2">
        <v>74</v>
      </c>
      <c r="E79" s="2">
        <v>10</v>
      </c>
      <c r="F79" s="2" t="str">
        <f t="shared" si="3"/>
        <v>74th</v>
      </c>
    </row>
    <row r="80" spans="1:6" x14ac:dyDescent="0.2">
      <c r="A80" s="2" t="s">
        <v>113</v>
      </c>
      <c r="B80" s="2" t="s">
        <v>3</v>
      </c>
      <c r="C80" s="2">
        <v>33</v>
      </c>
      <c r="D80" s="2">
        <v>84.8</v>
      </c>
      <c r="E80" s="2">
        <v>11</v>
      </c>
      <c r="F80" s="2" t="str">
        <f t="shared" si="3"/>
        <v>85th</v>
      </c>
    </row>
    <row r="81" spans="1:6" x14ac:dyDescent="0.2">
      <c r="A81" s="2" t="s">
        <v>113</v>
      </c>
      <c r="B81" s="2" t="s">
        <v>3</v>
      </c>
      <c r="C81" s="2">
        <v>34</v>
      </c>
      <c r="D81" s="2">
        <v>84.8</v>
      </c>
      <c r="E81" s="2">
        <v>11</v>
      </c>
      <c r="F81" s="2" t="str">
        <f t="shared" si="3"/>
        <v>85th</v>
      </c>
    </row>
    <row r="82" spans="1:6" x14ac:dyDescent="0.2">
      <c r="A82" s="2" t="s">
        <v>113</v>
      </c>
      <c r="B82" s="2" t="s">
        <v>3</v>
      </c>
      <c r="C82" s="2">
        <v>35</v>
      </c>
      <c r="D82" s="2">
        <v>84.8</v>
      </c>
      <c r="E82" s="2">
        <v>11</v>
      </c>
      <c r="F82" s="2" t="str">
        <f t="shared" si="3"/>
        <v>85th</v>
      </c>
    </row>
    <row r="83" spans="1:6" x14ac:dyDescent="0.2">
      <c r="A83" s="2" t="s">
        <v>113</v>
      </c>
      <c r="B83" s="2" t="s">
        <v>3</v>
      </c>
      <c r="C83" s="2">
        <v>36</v>
      </c>
      <c r="D83" s="2">
        <v>91.9</v>
      </c>
      <c r="E83" s="2">
        <v>12</v>
      </c>
      <c r="F83" s="2" t="str">
        <f t="shared" si="3"/>
        <v>92nd</v>
      </c>
    </row>
    <row r="84" spans="1:6" x14ac:dyDescent="0.2">
      <c r="A84" s="2" t="s">
        <v>113</v>
      </c>
      <c r="B84" s="2" t="s">
        <v>3</v>
      </c>
      <c r="C84" s="2">
        <v>37</v>
      </c>
      <c r="D84" s="2">
        <v>91.9</v>
      </c>
      <c r="E84" s="2">
        <v>12</v>
      </c>
      <c r="F84" s="2" t="str">
        <f t="shared" si="3"/>
        <v>92nd</v>
      </c>
    </row>
    <row r="85" spans="1:6" x14ac:dyDescent="0.2">
      <c r="A85" s="2" t="s">
        <v>113</v>
      </c>
      <c r="B85" s="2" t="s">
        <v>3</v>
      </c>
      <c r="C85" s="2">
        <v>38</v>
      </c>
      <c r="D85" s="2">
        <v>91.9</v>
      </c>
      <c r="E85" s="2">
        <v>12</v>
      </c>
      <c r="F85" s="2" t="str">
        <f t="shared" si="3"/>
        <v>92nd</v>
      </c>
    </row>
    <row r="86" spans="1:6" x14ac:dyDescent="0.2">
      <c r="A86" s="2" t="s">
        <v>113</v>
      </c>
      <c r="B86" s="2" t="s">
        <v>3</v>
      </c>
      <c r="C86" s="2">
        <v>39</v>
      </c>
      <c r="D86" s="2">
        <v>96.4</v>
      </c>
      <c r="E86" s="2">
        <v>13</v>
      </c>
      <c r="F86" s="2" t="str">
        <f t="shared" si="3"/>
        <v>96th</v>
      </c>
    </row>
    <row r="87" spans="1:6" x14ac:dyDescent="0.2">
      <c r="A87" s="2" t="s">
        <v>113</v>
      </c>
      <c r="B87" s="2" t="s">
        <v>3</v>
      </c>
      <c r="C87" s="2">
        <v>40</v>
      </c>
      <c r="D87" s="2">
        <v>96.4</v>
      </c>
      <c r="E87" s="2">
        <v>13</v>
      </c>
      <c r="F87" s="2" t="str">
        <f t="shared" si="3"/>
        <v>96th</v>
      </c>
    </row>
    <row r="88" spans="1:6" x14ac:dyDescent="0.2">
      <c r="A88" s="2" t="s">
        <v>113</v>
      </c>
      <c r="B88" s="2" t="s">
        <v>3</v>
      </c>
      <c r="C88" s="2">
        <v>41</v>
      </c>
      <c r="D88" s="2">
        <v>96.4</v>
      </c>
      <c r="E88" s="2">
        <v>13</v>
      </c>
      <c r="F88" s="2" t="str">
        <f t="shared" si="3"/>
        <v>96th</v>
      </c>
    </row>
    <row r="89" spans="1:6" x14ac:dyDescent="0.2">
      <c r="A89" s="2" t="s">
        <v>113</v>
      </c>
      <c r="B89" s="2" t="s">
        <v>3</v>
      </c>
      <c r="C89" s="2">
        <v>42</v>
      </c>
      <c r="D89" s="2">
        <v>98.9</v>
      </c>
      <c r="E89" s="2">
        <v>14</v>
      </c>
      <c r="F89" s="2" t="str">
        <f t="shared" si="3"/>
        <v>99th</v>
      </c>
    </row>
    <row r="90" spans="1:6" x14ac:dyDescent="0.2">
      <c r="A90" s="2" t="s">
        <v>113</v>
      </c>
      <c r="B90" s="2" t="s">
        <v>3</v>
      </c>
      <c r="C90" s="2">
        <v>43</v>
      </c>
      <c r="D90" s="2">
        <v>98.9</v>
      </c>
      <c r="E90" s="2">
        <v>14</v>
      </c>
      <c r="F90" s="2" t="str">
        <f t="shared" si="3"/>
        <v>99th</v>
      </c>
    </row>
    <row r="91" spans="1:6" x14ac:dyDescent="0.2">
      <c r="A91" s="2" t="s">
        <v>113</v>
      </c>
      <c r="B91" s="2" t="s">
        <v>3</v>
      </c>
      <c r="C91" s="2">
        <v>44</v>
      </c>
      <c r="D91" s="2">
        <v>98.9</v>
      </c>
      <c r="E91" s="2">
        <v>14</v>
      </c>
      <c r="F91" s="2" t="str">
        <f t="shared" si="3"/>
        <v>99th</v>
      </c>
    </row>
    <row r="92" spans="1:6" x14ac:dyDescent="0.2">
      <c r="A92" s="2" t="s">
        <v>113</v>
      </c>
      <c r="B92" s="2" t="s">
        <v>3</v>
      </c>
      <c r="C92" s="2">
        <v>45</v>
      </c>
      <c r="D92" s="2">
        <v>98.9</v>
      </c>
      <c r="E92" s="2">
        <v>14</v>
      </c>
      <c r="F92" s="2" t="str">
        <f t="shared" si="3"/>
        <v>99th</v>
      </c>
    </row>
    <row r="93" spans="1:6" x14ac:dyDescent="0.2">
      <c r="A93" s="2" t="s">
        <v>113</v>
      </c>
      <c r="B93" s="2" t="s">
        <v>3</v>
      </c>
      <c r="C93" s="2">
        <v>46</v>
      </c>
      <c r="D93" s="2">
        <v>98.9</v>
      </c>
      <c r="E93" s="2">
        <v>14</v>
      </c>
      <c r="F93" s="2" t="str">
        <f t="shared" si="3"/>
        <v>99th</v>
      </c>
    </row>
    <row r="94" spans="1:6" x14ac:dyDescent="0.2">
      <c r="A94" s="2" t="s">
        <v>113</v>
      </c>
      <c r="B94" s="2" t="s">
        <v>3</v>
      </c>
      <c r="C94" s="2">
        <v>47</v>
      </c>
      <c r="D94" s="2">
        <v>98.9</v>
      </c>
      <c r="E94" s="2">
        <v>14</v>
      </c>
      <c r="F94" s="2" t="str">
        <f t="shared" si="3"/>
        <v>99th</v>
      </c>
    </row>
    <row r="95" spans="1:6" x14ac:dyDescent="0.2">
      <c r="A95" s="2" t="s">
        <v>113</v>
      </c>
      <c r="B95" s="2" t="s">
        <v>3</v>
      </c>
      <c r="C95" s="2">
        <v>48</v>
      </c>
      <c r="D95" s="2">
        <v>99.8</v>
      </c>
      <c r="E95" s="2">
        <v>15</v>
      </c>
      <c r="F95" s="2" t="str">
        <f t="shared" si="3"/>
        <v>100th</v>
      </c>
    </row>
    <row r="96" spans="1:6" x14ac:dyDescent="0.2">
      <c r="A96" s="2" t="s">
        <v>113</v>
      </c>
      <c r="B96" s="2" t="s">
        <v>3</v>
      </c>
      <c r="C96" s="2">
        <v>49</v>
      </c>
      <c r="D96" s="2">
        <v>99.8</v>
      </c>
      <c r="E96" s="2">
        <v>15</v>
      </c>
      <c r="F96" s="2" t="str">
        <f t="shared" si="3"/>
        <v>100th</v>
      </c>
    </row>
    <row r="97" spans="1:6" x14ac:dyDescent="0.2">
      <c r="A97" s="2" t="s">
        <v>113</v>
      </c>
      <c r="B97" s="2" t="s">
        <v>3</v>
      </c>
      <c r="C97" s="2">
        <v>50</v>
      </c>
      <c r="D97" s="2">
        <v>99.8</v>
      </c>
      <c r="E97" s="2">
        <v>15</v>
      </c>
      <c r="F97" s="2" t="str">
        <f t="shared" si="3"/>
        <v>100th</v>
      </c>
    </row>
    <row r="98" spans="1:6" x14ac:dyDescent="0.2">
      <c r="A98" s="2" t="s">
        <v>113</v>
      </c>
      <c r="B98" s="2" t="s">
        <v>3</v>
      </c>
      <c r="C98" s="2">
        <v>51</v>
      </c>
      <c r="D98" s="2">
        <v>99.8</v>
      </c>
      <c r="E98" s="2">
        <v>15</v>
      </c>
      <c r="F98" s="2" t="str">
        <f t="shared" si="3"/>
        <v>100th</v>
      </c>
    </row>
    <row r="99" spans="1:6" x14ac:dyDescent="0.2">
      <c r="A99" s="2" t="s">
        <v>113</v>
      </c>
      <c r="B99" s="2" t="s">
        <v>3</v>
      </c>
      <c r="C99" s="2">
        <v>52</v>
      </c>
      <c r="D99" s="2">
        <v>99.8</v>
      </c>
      <c r="E99" s="2">
        <v>15</v>
      </c>
      <c r="F99" s="2" t="str">
        <f t="shared" si="3"/>
        <v>100th</v>
      </c>
    </row>
    <row r="100" spans="1:6" x14ac:dyDescent="0.2">
      <c r="A100" s="2" t="s">
        <v>113</v>
      </c>
      <c r="B100" s="2" t="s">
        <v>4</v>
      </c>
      <c r="C100" s="2">
        <v>0</v>
      </c>
      <c r="D100" s="2">
        <v>0.4</v>
      </c>
      <c r="E100" s="2">
        <v>1</v>
      </c>
      <c r="F100" s="2" t="str">
        <f t="shared" si="3"/>
        <v>0th</v>
      </c>
    </row>
    <row r="101" spans="1:6" x14ac:dyDescent="0.2">
      <c r="A101" s="2" t="s">
        <v>113</v>
      </c>
      <c r="B101" s="2" t="s">
        <v>4</v>
      </c>
      <c r="C101" s="2">
        <v>1</v>
      </c>
      <c r="D101" s="2">
        <v>0.4</v>
      </c>
      <c r="E101" s="2">
        <v>1</v>
      </c>
      <c r="F101" s="2" t="str">
        <f t="shared" si="3"/>
        <v>0th</v>
      </c>
    </row>
    <row r="102" spans="1:6" x14ac:dyDescent="0.2">
      <c r="A102" s="2" t="s">
        <v>113</v>
      </c>
      <c r="B102" s="2" t="s">
        <v>4</v>
      </c>
      <c r="C102" s="2">
        <v>2</v>
      </c>
      <c r="D102" s="2">
        <v>0.4</v>
      </c>
      <c r="E102" s="2">
        <v>1</v>
      </c>
      <c r="F102" s="2" t="str">
        <f t="shared" si="3"/>
        <v>0th</v>
      </c>
    </row>
    <row r="103" spans="1:6" x14ac:dyDescent="0.2">
      <c r="A103" s="2" t="s">
        <v>113</v>
      </c>
      <c r="B103" s="2" t="s">
        <v>4</v>
      </c>
      <c r="C103" s="2">
        <v>3</v>
      </c>
      <c r="D103" s="2">
        <v>1.8</v>
      </c>
      <c r="E103" s="2">
        <v>2</v>
      </c>
      <c r="F103" s="2" t="str">
        <f t="shared" si="3"/>
        <v>2nd</v>
      </c>
    </row>
    <row r="104" spans="1:6" x14ac:dyDescent="0.2">
      <c r="A104" s="2" t="s">
        <v>113</v>
      </c>
      <c r="B104" s="2" t="s">
        <v>4</v>
      </c>
      <c r="C104" s="2">
        <v>4</v>
      </c>
      <c r="D104" s="2">
        <v>1.8</v>
      </c>
      <c r="E104" s="2">
        <v>2</v>
      </c>
      <c r="F104" s="2" t="str">
        <f t="shared" si="3"/>
        <v>2nd</v>
      </c>
    </row>
    <row r="105" spans="1:6" x14ac:dyDescent="0.2">
      <c r="A105" s="2" t="s">
        <v>113</v>
      </c>
      <c r="B105" s="2" t="s">
        <v>4</v>
      </c>
      <c r="C105" s="2">
        <v>5</v>
      </c>
      <c r="D105" s="2">
        <v>4.3</v>
      </c>
      <c r="E105" s="2">
        <v>3</v>
      </c>
      <c r="F105" s="2" t="str">
        <f t="shared" si="3"/>
        <v>4th</v>
      </c>
    </row>
    <row r="106" spans="1:6" x14ac:dyDescent="0.2">
      <c r="A106" s="2" t="s">
        <v>113</v>
      </c>
      <c r="B106" s="2" t="s">
        <v>4</v>
      </c>
      <c r="C106" s="2">
        <v>6</v>
      </c>
      <c r="D106" s="2">
        <v>4.3</v>
      </c>
      <c r="E106" s="2">
        <v>3</v>
      </c>
      <c r="F106" s="2" t="str">
        <f t="shared" si="3"/>
        <v>4th</v>
      </c>
    </row>
    <row r="107" spans="1:6" x14ac:dyDescent="0.2">
      <c r="A107" s="2" t="s">
        <v>113</v>
      </c>
      <c r="B107" s="2" t="s">
        <v>4</v>
      </c>
      <c r="C107" s="2">
        <v>7</v>
      </c>
      <c r="D107" s="2">
        <v>4.3</v>
      </c>
      <c r="E107" s="2">
        <v>3</v>
      </c>
      <c r="F107" s="2" t="str">
        <f t="shared" si="3"/>
        <v>4th</v>
      </c>
    </row>
    <row r="108" spans="1:6" x14ac:dyDescent="0.2">
      <c r="A108" s="2" t="s">
        <v>113</v>
      </c>
      <c r="B108" s="2" t="s">
        <v>4</v>
      </c>
      <c r="C108" s="2">
        <v>8</v>
      </c>
      <c r="D108" s="2">
        <v>8.3000000000000007</v>
      </c>
      <c r="E108" s="2">
        <v>4</v>
      </c>
      <c r="F108" s="2" t="str">
        <f t="shared" si="3"/>
        <v>8th</v>
      </c>
    </row>
    <row r="109" spans="1:6" x14ac:dyDescent="0.2">
      <c r="A109" s="2" t="s">
        <v>113</v>
      </c>
      <c r="B109" s="2" t="s">
        <v>4</v>
      </c>
      <c r="C109" s="2">
        <v>9</v>
      </c>
      <c r="D109" s="2">
        <v>8.3000000000000007</v>
      </c>
      <c r="E109" s="2">
        <v>4</v>
      </c>
      <c r="F109" s="2" t="str">
        <f t="shared" si="3"/>
        <v>8th</v>
      </c>
    </row>
    <row r="110" spans="1:6" x14ac:dyDescent="0.2">
      <c r="A110" s="2" t="s">
        <v>113</v>
      </c>
      <c r="B110" s="2" t="s">
        <v>4</v>
      </c>
      <c r="C110" s="2">
        <v>10</v>
      </c>
      <c r="D110" s="2">
        <v>8.3000000000000007</v>
      </c>
      <c r="E110" s="2">
        <v>4</v>
      </c>
      <c r="F110" s="2" t="str">
        <f t="shared" si="3"/>
        <v>8th</v>
      </c>
    </row>
    <row r="111" spans="1:6" x14ac:dyDescent="0.2">
      <c r="A111" s="2" t="s">
        <v>113</v>
      </c>
      <c r="B111" s="2" t="s">
        <v>4</v>
      </c>
      <c r="C111" s="2">
        <v>11</v>
      </c>
      <c r="D111" s="2">
        <v>13.7</v>
      </c>
      <c r="E111" s="2">
        <v>5</v>
      </c>
      <c r="F111" s="2" t="str">
        <f t="shared" si="3"/>
        <v>14th</v>
      </c>
    </row>
    <row r="112" spans="1:6" x14ac:dyDescent="0.2">
      <c r="A112" s="2" t="s">
        <v>113</v>
      </c>
      <c r="B112" s="2" t="s">
        <v>4</v>
      </c>
      <c r="C112" s="2">
        <v>12</v>
      </c>
      <c r="D112" s="2">
        <v>13.7</v>
      </c>
      <c r="E112" s="2">
        <v>5</v>
      </c>
      <c r="F112" s="2" t="str">
        <f t="shared" si="3"/>
        <v>14th</v>
      </c>
    </row>
    <row r="113" spans="1:6" x14ac:dyDescent="0.2">
      <c r="A113" s="2" t="s">
        <v>113</v>
      </c>
      <c r="B113" s="2" t="s">
        <v>4</v>
      </c>
      <c r="C113" s="2">
        <v>13</v>
      </c>
      <c r="D113" s="2">
        <v>13.7</v>
      </c>
      <c r="E113" s="2">
        <v>5</v>
      </c>
      <c r="F113" s="2" t="str">
        <f t="shared" si="3"/>
        <v>14th</v>
      </c>
    </row>
    <row r="114" spans="1:6" x14ac:dyDescent="0.2">
      <c r="A114" s="2" t="s">
        <v>113</v>
      </c>
      <c r="B114" s="2" t="s">
        <v>4</v>
      </c>
      <c r="C114" s="2">
        <v>14</v>
      </c>
      <c r="D114" s="2">
        <v>22.6</v>
      </c>
      <c r="E114" s="2">
        <v>6</v>
      </c>
      <c r="F114" s="2" t="str">
        <f t="shared" si="3"/>
        <v>23rd</v>
      </c>
    </row>
    <row r="115" spans="1:6" x14ac:dyDescent="0.2">
      <c r="A115" s="2" t="s">
        <v>113</v>
      </c>
      <c r="B115" s="2" t="s">
        <v>4</v>
      </c>
      <c r="C115" s="2">
        <v>15</v>
      </c>
      <c r="D115" s="2">
        <v>22.6</v>
      </c>
      <c r="E115" s="2">
        <v>6</v>
      </c>
      <c r="F115" s="2" t="str">
        <f t="shared" si="3"/>
        <v>23rd</v>
      </c>
    </row>
    <row r="116" spans="1:6" x14ac:dyDescent="0.2">
      <c r="A116" s="2" t="s">
        <v>113</v>
      </c>
      <c r="B116" s="2" t="s">
        <v>4</v>
      </c>
      <c r="C116" s="2">
        <v>16</v>
      </c>
      <c r="D116" s="2">
        <v>34</v>
      </c>
      <c r="E116" s="2">
        <v>7</v>
      </c>
      <c r="F116" s="2" t="str">
        <f t="shared" si="3"/>
        <v>34th</v>
      </c>
    </row>
    <row r="117" spans="1:6" x14ac:dyDescent="0.2">
      <c r="A117" s="2" t="s">
        <v>113</v>
      </c>
      <c r="B117" s="2" t="s">
        <v>4</v>
      </c>
      <c r="C117" s="2">
        <v>17</v>
      </c>
      <c r="D117" s="2">
        <v>34</v>
      </c>
      <c r="E117" s="2">
        <v>7</v>
      </c>
      <c r="F117" s="2" t="str">
        <f t="shared" si="3"/>
        <v>34th</v>
      </c>
    </row>
    <row r="118" spans="1:6" x14ac:dyDescent="0.2">
      <c r="A118" s="2" t="s">
        <v>113</v>
      </c>
      <c r="B118" s="2" t="s">
        <v>4</v>
      </c>
      <c r="C118" s="2">
        <v>18</v>
      </c>
      <c r="D118" s="2">
        <v>45.4</v>
      </c>
      <c r="E118" s="2">
        <v>8</v>
      </c>
      <c r="F118" s="2" t="str">
        <f t="shared" si="3"/>
        <v>45th</v>
      </c>
    </row>
    <row r="119" spans="1:6" x14ac:dyDescent="0.2">
      <c r="A119" s="2" t="s">
        <v>113</v>
      </c>
      <c r="B119" s="2" t="s">
        <v>4</v>
      </c>
      <c r="C119" s="2">
        <v>19</v>
      </c>
      <c r="D119" s="2">
        <v>45.4</v>
      </c>
      <c r="E119" s="2">
        <v>8</v>
      </c>
      <c r="F119" s="2" t="str">
        <f t="shared" si="3"/>
        <v>45th</v>
      </c>
    </row>
    <row r="120" spans="1:6" x14ac:dyDescent="0.2">
      <c r="A120" s="2" t="s">
        <v>113</v>
      </c>
      <c r="B120" s="2" t="s">
        <v>4</v>
      </c>
      <c r="C120" s="2">
        <v>20</v>
      </c>
      <c r="D120" s="2">
        <v>60.8</v>
      </c>
      <c r="E120" s="2">
        <v>9</v>
      </c>
      <c r="F120" s="2" t="str">
        <f t="shared" si="3"/>
        <v>61st</v>
      </c>
    </row>
    <row r="121" spans="1:6" x14ac:dyDescent="0.2">
      <c r="A121" s="2" t="s">
        <v>113</v>
      </c>
      <c r="B121" s="2" t="s">
        <v>4</v>
      </c>
      <c r="C121" s="2">
        <v>21</v>
      </c>
      <c r="D121" s="2">
        <v>60.8</v>
      </c>
      <c r="E121" s="2">
        <v>9</v>
      </c>
      <c r="F121" s="2" t="str">
        <f t="shared" si="3"/>
        <v>61st</v>
      </c>
    </row>
    <row r="122" spans="1:6" x14ac:dyDescent="0.2">
      <c r="A122" s="2" t="s">
        <v>113</v>
      </c>
      <c r="B122" s="2" t="s">
        <v>4</v>
      </c>
      <c r="C122" s="2">
        <v>22</v>
      </c>
      <c r="D122" s="2">
        <v>76.8</v>
      </c>
      <c r="E122" s="2">
        <v>10</v>
      </c>
      <c r="F122" s="2" t="str">
        <f t="shared" si="3"/>
        <v>77th</v>
      </c>
    </row>
    <row r="123" spans="1:6" x14ac:dyDescent="0.2">
      <c r="A123" s="2" t="s">
        <v>113</v>
      </c>
      <c r="B123" s="2" t="s">
        <v>4</v>
      </c>
      <c r="C123" s="2">
        <v>23</v>
      </c>
      <c r="D123" s="2">
        <v>76.8</v>
      </c>
      <c r="E123" s="2">
        <v>10</v>
      </c>
      <c r="F123" s="2" t="str">
        <f t="shared" si="3"/>
        <v>77th</v>
      </c>
    </row>
    <row r="124" spans="1:6" x14ac:dyDescent="0.2">
      <c r="A124" s="2" t="s">
        <v>113</v>
      </c>
      <c r="B124" s="2" t="s">
        <v>4</v>
      </c>
      <c r="C124" s="2">
        <v>24</v>
      </c>
      <c r="D124" s="2">
        <v>90.3</v>
      </c>
      <c r="E124" s="2">
        <v>11</v>
      </c>
      <c r="F124" s="2" t="str">
        <f t="shared" si="3"/>
        <v>90th</v>
      </c>
    </row>
    <row r="125" spans="1:6" x14ac:dyDescent="0.2">
      <c r="A125" s="2" t="s">
        <v>113</v>
      </c>
      <c r="B125" s="2" t="s">
        <v>4</v>
      </c>
      <c r="C125" s="2">
        <v>25</v>
      </c>
      <c r="D125" s="2">
        <v>90.3</v>
      </c>
      <c r="E125" s="2">
        <v>11</v>
      </c>
      <c r="F125" s="2" t="str">
        <f t="shared" si="3"/>
        <v>90th</v>
      </c>
    </row>
    <row r="126" spans="1:6" x14ac:dyDescent="0.2">
      <c r="A126" s="2" t="s">
        <v>113</v>
      </c>
      <c r="B126" s="2" t="s">
        <v>4</v>
      </c>
      <c r="C126" s="2">
        <v>26</v>
      </c>
      <c r="D126" s="2">
        <v>96.7</v>
      </c>
      <c r="E126" s="2">
        <v>12</v>
      </c>
      <c r="F126" s="2" t="str">
        <f t="shared" si="3"/>
        <v>97th</v>
      </c>
    </row>
    <row r="127" spans="1:6" x14ac:dyDescent="0.2">
      <c r="A127" s="2" t="s">
        <v>113</v>
      </c>
      <c r="B127" s="2" t="s">
        <v>4</v>
      </c>
      <c r="C127" s="2">
        <v>27</v>
      </c>
      <c r="D127" s="2">
        <v>96.7</v>
      </c>
      <c r="E127" s="2">
        <v>12</v>
      </c>
      <c r="F127" s="2" t="str">
        <f t="shared" si="3"/>
        <v>97th</v>
      </c>
    </row>
    <row r="128" spans="1:6" x14ac:dyDescent="0.2">
      <c r="A128" s="2" t="s">
        <v>113</v>
      </c>
      <c r="B128" s="2" t="s">
        <v>4</v>
      </c>
      <c r="C128" s="2">
        <v>28</v>
      </c>
      <c r="D128" s="2">
        <v>98.9</v>
      </c>
      <c r="E128" s="2">
        <v>13</v>
      </c>
      <c r="F128" s="2" t="str">
        <f t="shared" si="3"/>
        <v>99th</v>
      </c>
    </row>
    <row r="129" spans="1:6" x14ac:dyDescent="0.2">
      <c r="A129" s="2" t="s">
        <v>113</v>
      </c>
      <c r="B129" s="2" t="s">
        <v>4</v>
      </c>
      <c r="C129" s="2">
        <v>29</v>
      </c>
      <c r="D129" s="2">
        <v>98.9</v>
      </c>
      <c r="E129" s="2">
        <v>13</v>
      </c>
      <c r="F129" s="2" t="str">
        <f t="shared" si="3"/>
        <v>99th</v>
      </c>
    </row>
    <row r="130" spans="1:6" x14ac:dyDescent="0.2">
      <c r="A130" s="2" t="s">
        <v>113</v>
      </c>
      <c r="B130" s="2" t="s">
        <v>4</v>
      </c>
      <c r="C130" s="2">
        <v>30</v>
      </c>
      <c r="D130" s="2">
        <v>99.8</v>
      </c>
      <c r="E130" s="2">
        <v>14</v>
      </c>
      <c r="F130" s="2" t="str">
        <f t="shared" si="3"/>
        <v>100th</v>
      </c>
    </row>
    <row r="131" spans="1:6" x14ac:dyDescent="0.2">
      <c r="A131" s="2" t="s">
        <v>113</v>
      </c>
      <c r="B131" s="2" t="s">
        <v>4</v>
      </c>
      <c r="C131" s="2">
        <v>31</v>
      </c>
      <c r="D131" s="2">
        <v>99.8</v>
      </c>
      <c r="E131" s="2">
        <v>14</v>
      </c>
      <c r="F131" s="2" t="str">
        <f t="shared" si="3"/>
        <v>100th</v>
      </c>
    </row>
    <row r="132" spans="1:6" x14ac:dyDescent="0.2">
      <c r="A132" s="2" t="s">
        <v>113</v>
      </c>
      <c r="B132" s="2" t="s">
        <v>4</v>
      </c>
      <c r="C132" s="2">
        <v>32</v>
      </c>
      <c r="D132" s="2">
        <v>99.8</v>
      </c>
      <c r="E132" s="2">
        <v>14</v>
      </c>
      <c r="F132" s="2" t="str">
        <f t="shared" si="3"/>
        <v>100th</v>
      </c>
    </row>
    <row r="133" spans="1:6" x14ac:dyDescent="0.2">
      <c r="A133" s="2" t="s">
        <v>113</v>
      </c>
      <c r="B133" s="2" t="s">
        <v>4</v>
      </c>
      <c r="C133" s="2">
        <v>33</v>
      </c>
      <c r="D133" s="2">
        <v>99.8</v>
      </c>
      <c r="E133" s="2">
        <v>14</v>
      </c>
      <c r="F133" s="2" t="str">
        <f t="shared" si="3"/>
        <v>100th</v>
      </c>
    </row>
    <row r="134" spans="1:6" x14ac:dyDescent="0.2">
      <c r="A134" s="2" t="s">
        <v>113</v>
      </c>
      <c r="B134" s="2" t="s">
        <v>4</v>
      </c>
      <c r="C134" s="2">
        <v>34</v>
      </c>
      <c r="D134" s="2">
        <v>99.9</v>
      </c>
      <c r="E134" s="2">
        <v>15</v>
      </c>
      <c r="F134" s="2" t="str">
        <f t="shared" si="3"/>
        <v>100th</v>
      </c>
    </row>
    <row r="135" spans="1:6" x14ac:dyDescent="0.2">
      <c r="A135" s="2" t="s">
        <v>113</v>
      </c>
      <c r="B135" s="2" t="s">
        <v>4</v>
      </c>
      <c r="C135" s="2">
        <v>35</v>
      </c>
      <c r="D135" s="2">
        <v>99.9</v>
      </c>
      <c r="E135" s="2">
        <v>15</v>
      </c>
      <c r="F135" s="2" t="str">
        <f t="shared" si="3"/>
        <v>100th</v>
      </c>
    </row>
    <row r="136" spans="1:6" x14ac:dyDescent="0.2">
      <c r="A136" s="2" t="s">
        <v>113</v>
      </c>
      <c r="B136" s="2" t="s">
        <v>4</v>
      </c>
      <c r="C136" s="2">
        <v>36</v>
      </c>
      <c r="D136" s="2">
        <v>99.9</v>
      </c>
      <c r="E136" s="2">
        <v>15</v>
      </c>
      <c r="F136" s="2" t="str">
        <f t="shared" si="3"/>
        <v>100th</v>
      </c>
    </row>
    <row r="137" spans="1:6" x14ac:dyDescent="0.2">
      <c r="A137" s="2" t="s">
        <v>113</v>
      </c>
      <c r="B137" s="2" t="s">
        <v>4</v>
      </c>
      <c r="C137" s="2">
        <v>37</v>
      </c>
      <c r="D137" s="2">
        <v>99.9</v>
      </c>
      <c r="E137" s="2">
        <v>15</v>
      </c>
      <c r="F137" s="2" t="str">
        <f t="shared" si="3"/>
        <v>100th</v>
      </c>
    </row>
    <row r="138" spans="1:6" x14ac:dyDescent="0.2">
      <c r="A138" s="2" t="s">
        <v>113</v>
      </c>
      <c r="B138" s="2" t="s">
        <v>4</v>
      </c>
      <c r="C138" s="2">
        <v>38</v>
      </c>
      <c r="D138" s="2">
        <v>99.9</v>
      </c>
      <c r="E138" s="2">
        <v>15</v>
      </c>
      <c r="F138" s="2" t="str">
        <f t="shared" si="3"/>
        <v>100th</v>
      </c>
    </row>
    <row r="139" spans="1:6" x14ac:dyDescent="0.2">
      <c r="A139" s="2" t="s">
        <v>113</v>
      </c>
      <c r="B139" s="2" t="s">
        <v>4</v>
      </c>
      <c r="C139" s="2">
        <v>39</v>
      </c>
      <c r="D139" s="2">
        <v>99.9</v>
      </c>
      <c r="E139" s="2">
        <v>15</v>
      </c>
      <c r="F139" s="2" t="str">
        <f t="shared" si="3"/>
        <v>100th</v>
      </c>
    </row>
    <row r="140" spans="1:6" x14ac:dyDescent="0.2">
      <c r="A140" s="2" t="s">
        <v>113</v>
      </c>
      <c r="B140" s="2" t="s">
        <v>4</v>
      </c>
      <c r="C140" s="2">
        <v>40</v>
      </c>
      <c r="D140" s="2">
        <v>99.9</v>
      </c>
      <c r="E140" s="2">
        <v>15</v>
      </c>
      <c r="F140" s="2" t="str">
        <f t="shared" si="3"/>
        <v>100th</v>
      </c>
    </row>
    <row r="141" spans="1:6" x14ac:dyDescent="0.2">
      <c r="A141" s="2" t="s">
        <v>113</v>
      </c>
      <c r="B141" s="2" t="s">
        <v>5</v>
      </c>
      <c r="C141" s="2">
        <v>0</v>
      </c>
      <c r="D141" s="2">
        <v>0.3</v>
      </c>
      <c r="E141" s="2">
        <v>1</v>
      </c>
      <c r="F141" s="2" t="str">
        <f t="shared" ref="F141:F202" si="4">IF(RIGHT(ROUND(D141,0),2)="13",ROUND(D141,0)&amp;"th",IF(RIGHT(ROUND(D141,0),2)="12",ROUND(D141,0)&amp;"th",IF(RIGHT(ROUND(D141,0),2)="11",ROUND(D141,0)&amp;"th",IF(RIGHT(ROUND(D141,0),1)="1",ROUND(D141,0)&amp;"st",IF(RIGHT(ROUND(D141,0),1)="2",ROUND(D141,0)&amp;"nd",IF(RIGHT(ROUND(D141,0),1)="3",ROUND(D141,0)&amp;"rd",ROUND(D141,0)&amp;"th"))))))</f>
        <v>0th</v>
      </c>
    </row>
    <row r="142" spans="1:6" x14ac:dyDescent="0.2">
      <c r="A142" s="2" t="s">
        <v>113</v>
      </c>
      <c r="B142" s="2" t="s">
        <v>5</v>
      </c>
      <c r="C142" s="2">
        <v>1</v>
      </c>
      <c r="D142" s="2">
        <v>0.3</v>
      </c>
      <c r="E142" s="2">
        <v>1</v>
      </c>
      <c r="F142" s="2" t="str">
        <f t="shared" si="4"/>
        <v>0th</v>
      </c>
    </row>
    <row r="143" spans="1:6" x14ac:dyDescent="0.2">
      <c r="A143" s="2" t="s">
        <v>113</v>
      </c>
      <c r="B143" s="2" t="s">
        <v>5</v>
      </c>
      <c r="C143" s="2">
        <v>2</v>
      </c>
      <c r="D143" s="2">
        <v>0.3</v>
      </c>
      <c r="E143" s="2">
        <v>1</v>
      </c>
      <c r="F143" s="2" t="str">
        <f t="shared" si="4"/>
        <v>0th</v>
      </c>
    </row>
    <row r="144" spans="1:6" x14ac:dyDescent="0.2">
      <c r="A144" s="2" t="s">
        <v>113</v>
      </c>
      <c r="B144" s="2" t="s">
        <v>5</v>
      </c>
      <c r="C144" s="2">
        <v>3</v>
      </c>
      <c r="D144" s="2">
        <v>1.1000000000000001</v>
      </c>
      <c r="E144" s="2">
        <v>2</v>
      </c>
      <c r="F144" s="2" t="str">
        <f t="shared" si="4"/>
        <v>1st</v>
      </c>
    </row>
    <row r="145" spans="1:6" x14ac:dyDescent="0.2">
      <c r="A145" s="2" t="s">
        <v>113</v>
      </c>
      <c r="B145" s="2" t="s">
        <v>5</v>
      </c>
      <c r="C145" s="2">
        <v>4</v>
      </c>
      <c r="D145" s="2">
        <v>1.1000000000000001</v>
      </c>
      <c r="E145" s="2">
        <v>2</v>
      </c>
      <c r="F145" s="2" t="str">
        <f t="shared" si="4"/>
        <v>1st</v>
      </c>
    </row>
    <row r="146" spans="1:6" x14ac:dyDescent="0.2">
      <c r="A146" s="2" t="s">
        <v>113</v>
      </c>
      <c r="B146" s="2" t="s">
        <v>5</v>
      </c>
      <c r="C146" s="2">
        <v>5</v>
      </c>
      <c r="D146" s="2">
        <v>1.1000000000000001</v>
      </c>
      <c r="E146" s="2">
        <v>2</v>
      </c>
      <c r="F146" s="2" t="str">
        <f t="shared" si="4"/>
        <v>1st</v>
      </c>
    </row>
    <row r="147" spans="1:6" x14ac:dyDescent="0.2">
      <c r="A147" s="2" t="s">
        <v>113</v>
      </c>
      <c r="B147" s="2" t="s">
        <v>5</v>
      </c>
      <c r="C147" s="2">
        <v>6</v>
      </c>
      <c r="D147" s="2">
        <v>1.1000000000000001</v>
      </c>
      <c r="E147" s="2">
        <v>2</v>
      </c>
      <c r="F147" s="2" t="str">
        <f t="shared" si="4"/>
        <v>1st</v>
      </c>
    </row>
    <row r="148" spans="1:6" x14ac:dyDescent="0.2">
      <c r="A148" s="2" t="s">
        <v>113</v>
      </c>
      <c r="B148" s="2" t="s">
        <v>5</v>
      </c>
      <c r="C148" s="2">
        <v>7</v>
      </c>
      <c r="D148" s="2">
        <v>1.1000000000000001</v>
      </c>
      <c r="E148" s="2">
        <v>2</v>
      </c>
      <c r="F148" s="2" t="str">
        <f t="shared" si="4"/>
        <v>1st</v>
      </c>
    </row>
    <row r="149" spans="1:6" x14ac:dyDescent="0.2">
      <c r="A149" s="2" t="s">
        <v>113</v>
      </c>
      <c r="B149" s="2" t="s">
        <v>5</v>
      </c>
      <c r="C149" s="2">
        <v>8</v>
      </c>
      <c r="D149" s="2">
        <v>2.4</v>
      </c>
      <c r="E149" s="2">
        <v>3</v>
      </c>
      <c r="F149" s="2" t="str">
        <f t="shared" si="4"/>
        <v>2nd</v>
      </c>
    </row>
    <row r="150" spans="1:6" x14ac:dyDescent="0.2">
      <c r="A150" s="2" t="s">
        <v>113</v>
      </c>
      <c r="B150" s="2" t="s">
        <v>5</v>
      </c>
      <c r="C150" s="2">
        <v>9</v>
      </c>
      <c r="D150" s="2">
        <v>2.4</v>
      </c>
      <c r="E150" s="2">
        <v>3</v>
      </c>
      <c r="F150" s="2" t="str">
        <f t="shared" si="4"/>
        <v>2nd</v>
      </c>
    </row>
    <row r="151" spans="1:6" x14ac:dyDescent="0.2">
      <c r="A151" s="2" t="s">
        <v>113</v>
      </c>
      <c r="B151" s="2" t="s">
        <v>5</v>
      </c>
      <c r="C151" s="2">
        <v>10</v>
      </c>
      <c r="D151" s="2">
        <v>2.4</v>
      </c>
      <c r="E151" s="2">
        <v>3</v>
      </c>
      <c r="F151" s="2" t="str">
        <f t="shared" si="4"/>
        <v>2nd</v>
      </c>
    </row>
    <row r="152" spans="1:6" x14ac:dyDescent="0.2">
      <c r="A152" s="2" t="s">
        <v>113</v>
      </c>
      <c r="B152" s="2" t="s">
        <v>5</v>
      </c>
      <c r="C152" s="2">
        <v>11</v>
      </c>
      <c r="D152" s="2">
        <v>4.9000000000000004</v>
      </c>
      <c r="E152" s="2">
        <v>4</v>
      </c>
      <c r="F152" s="2" t="str">
        <f t="shared" si="4"/>
        <v>5th</v>
      </c>
    </row>
    <row r="153" spans="1:6" x14ac:dyDescent="0.2">
      <c r="A153" s="2" t="s">
        <v>113</v>
      </c>
      <c r="B153" s="2" t="s">
        <v>5</v>
      </c>
      <c r="C153" s="2">
        <v>12</v>
      </c>
      <c r="D153" s="2">
        <v>4.9000000000000004</v>
      </c>
      <c r="E153" s="2">
        <v>4</v>
      </c>
      <c r="F153" s="2" t="str">
        <f t="shared" si="4"/>
        <v>5th</v>
      </c>
    </row>
    <row r="154" spans="1:6" x14ac:dyDescent="0.2">
      <c r="A154" s="2" t="s">
        <v>113</v>
      </c>
      <c r="B154" s="2" t="s">
        <v>5</v>
      </c>
      <c r="C154" s="2">
        <v>13</v>
      </c>
      <c r="D154" s="2">
        <v>4.9000000000000004</v>
      </c>
      <c r="E154" s="2">
        <v>4</v>
      </c>
      <c r="F154" s="2" t="str">
        <f t="shared" si="4"/>
        <v>5th</v>
      </c>
    </row>
    <row r="155" spans="1:6" x14ac:dyDescent="0.2">
      <c r="A155" s="2" t="s">
        <v>113</v>
      </c>
      <c r="B155" s="2" t="s">
        <v>5</v>
      </c>
      <c r="C155" s="2">
        <v>14</v>
      </c>
      <c r="D155" s="2">
        <v>8.5</v>
      </c>
      <c r="E155" s="2">
        <v>5</v>
      </c>
      <c r="F155" s="2" t="str">
        <f t="shared" si="4"/>
        <v>9th</v>
      </c>
    </row>
    <row r="156" spans="1:6" x14ac:dyDescent="0.2">
      <c r="A156" s="2" t="s">
        <v>113</v>
      </c>
      <c r="B156" s="2" t="s">
        <v>5</v>
      </c>
      <c r="C156" s="2">
        <v>15</v>
      </c>
      <c r="D156" s="2">
        <v>8.5</v>
      </c>
      <c r="E156" s="2">
        <v>5</v>
      </c>
      <c r="F156" s="2" t="str">
        <f t="shared" si="4"/>
        <v>9th</v>
      </c>
    </row>
    <row r="157" spans="1:6" x14ac:dyDescent="0.2">
      <c r="A157" s="2" t="s">
        <v>113</v>
      </c>
      <c r="B157" s="2" t="s">
        <v>5</v>
      </c>
      <c r="C157" s="2">
        <v>16</v>
      </c>
      <c r="D157" s="2">
        <v>8.5</v>
      </c>
      <c r="E157" s="2">
        <v>5</v>
      </c>
      <c r="F157" s="2" t="str">
        <f t="shared" si="4"/>
        <v>9th</v>
      </c>
    </row>
    <row r="158" spans="1:6" x14ac:dyDescent="0.2">
      <c r="A158" s="2" t="s">
        <v>113</v>
      </c>
      <c r="B158" s="2" t="s">
        <v>5</v>
      </c>
      <c r="C158" s="2">
        <v>17</v>
      </c>
      <c r="D158" s="2">
        <v>14.1</v>
      </c>
      <c r="E158" s="2">
        <v>6</v>
      </c>
      <c r="F158" s="2" t="str">
        <f t="shared" si="4"/>
        <v>14th</v>
      </c>
    </row>
    <row r="159" spans="1:6" x14ac:dyDescent="0.2">
      <c r="A159" s="2" t="s">
        <v>113</v>
      </c>
      <c r="B159" s="2" t="s">
        <v>5</v>
      </c>
      <c r="C159" s="2">
        <v>18</v>
      </c>
      <c r="D159" s="2">
        <v>14.1</v>
      </c>
      <c r="E159" s="2">
        <v>6</v>
      </c>
      <c r="F159" s="2" t="str">
        <f t="shared" si="4"/>
        <v>14th</v>
      </c>
    </row>
    <row r="160" spans="1:6" x14ac:dyDescent="0.2">
      <c r="A160" s="2" t="s">
        <v>113</v>
      </c>
      <c r="B160" s="2" t="s">
        <v>5</v>
      </c>
      <c r="C160" s="2">
        <v>19</v>
      </c>
      <c r="D160" s="2">
        <v>14.1</v>
      </c>
      <c r="E160" s="2">
        <v>6</v>
      </c>
      <c r="F160" s="2" t="str">
        <f t="shared" si="4"/>
        <v>14th</v>
      </c>
    </row>
    <row r="161" spans="1:6" x14ac:dyDescent="0.2">
      <c r="A161" s="2" t="s">
        <v>113</v>
      </c>
      <c r="B161" s="2" t="s">
        <v>5</v>
      </c>
      <c r="C161" s="2">
        <v>20</v>
      </c>
      <c r="D161" s="2">
        <v>21.6</v>
      </c>
      <c r="E161" s="2">
        <v>7</v>
      </c>
      <c r="F161" s="2" t="str">
        <f t="shared" si="4"/>
        <v>22nd</v>
      </c>
    </row>
    <row r="162" spans="1:6" x14ac:dyDescent="0.2">
      <c r="A162" s="2" t="s">
        <v>113</v>
      </c>
      <c r="B162" s="2" t="s">
        <v>5</v>
      </c>
      <c r="C162" s="2">
        <v>21</v>
      </c>
      <c r="D162" s="2">
        <v>21.6</v>
      </c>
      <c r="E162" s="2">
        <v>7</v>
      </c>
      <c r="F162" s="2" t="str">
        <f t="shared" si="4"/>
        <v>22nd</v>
      </c>
    </row>
    <row r="163" spans="1:6" x14ac:dyDescent="0.2">
      <c r="A163" s="2" t="s">
        <v>113</v>
      </c>
      <c r="B163" s="2" t="s">
        <v>5</v>
      </c>
      <c r="C163" s="2">
        <v>22</v>
      </c>
      <c r="D163" s="2">
        <v>21.6</v>
      </c>
      <c r="E163" s="2">
        <v>7</v>
      </c>
      <c r="F163" s="2" t="str">
        <f t="shared" si="4"/>
        <v>22nd</v>
      </c>
    </row>
    <row r="164" spans="1:6" x14ac:dyDescent="0.2">
      <c r="A164" s="2" t="s">
        <v>113</v>
      </c>
      <c r="B164" s="2" t="s">
        <v>5</v>
      </c>
      <c r="C164" s="2">
        <v>23</v>
      </c>
      <c r="D164" s="2">
        <v>33.200000000000003</v>
      </c>
      <c r="E164" s="2">
        <v>8</v>
      </c>
      <c r="F164" s="2" t="str">
        <f t="shared" si="4"/>
        <v>33rd</v>
      </c>
    </row>
    <row r="165" spans="1:6" x14ac:dyDescent="0.2">
      <c r="A165" s="2" t="s">
        <v>113</v>
      </c>
      <c r="B165" s="2" t="s">
        <v>5</v>
      </c>
      <c r="C165" s="2">
        <v>24</v>
      </c>
      <c r="D165" s="2">
        <v>33.200000000000003</v>
      </c>
      <c r="E165" s="2">
        <v>8</v>
      </c>
      <c r="F165" s="2" t="str">
        <f t="shared" si="4"/>
        <v>33rd</v>
      </c>
    </row>
    <row r="166" spans="1:6" x14ac:dyDescent="0.2">
      <c r="A166" s="2" t="s">
        <v>113</v>
      </c>
      <c r="B166" s="2" t="s">
        <v>5</v>
      </c>
      <c r="C166" s="2">
        <v>25</v>
      </c>
      <c r="D166" s="2">
        <v>33.200000000000003</v>
      </c>
      <c r="E166" s="2">
        <v>8</v>
      </c>
      <c r="F166" s="2" t="str">
        <f t="shared" si="4"/>
        <v>33rd</v>
      </c>
    </row>
    <row r="167" spans="1:6" x14ac:dyDescent="0.2">
      <c r="A167" s="2" t="s">
        <v>113</v>
      </c>
      <c r="B167" s="2" t="s">
        <v>5</v>
      </c>
      <c r="C167" s="2">
        <v>26</v>
      </c>
      <c r="D167" s="2">
        <v>49.3</v>
      </c>
      <c r="E167" s="2">
        <v>9</v>
      </c>
      <c r="F167" s="2" t="str">
        <f t="shared" si="4"/>
        <v>49th</v>
      </c>
    </row>
    <row r="168" spans="1:6" x14ac:dyDescent="0.2">
      <c r="A168" s="2" t="s">
        <v>113</v>
      </c>
      <c r="B168" s="2" t="s">
        <v>5</v>
      </c>
      <c r="C168" s="2">
        <v>27</v>
      </c>
      <c r="D168" s="2">
        <v>49.3</v>
      </c>
      <c r="E168" s="2">
        <v>9</v>
      </c>
      <c r="F168" s="2" t="str">
        <f t="shared" si="4"/>
        <v>49th</v>
      </c>
    </row>
    <row r="169" spans="1:6" x14ac:dyDescent="0.2">
      <c r="A169" s="2" t="s">
        <v>113</v>
      </c>
      <c r="B169" s="2" t="s">
        <v>5</v>
      </c>
      <c r="C169" s="2">
        <v>28</v>
      </c>
      <c r="D169" s="2">
        <v>49.3</v>
      </c>
      <c r="E169" s="2">
        <v>9</v>
      </c>
      <c r="F169" s="2" t="str">
        <f t="shared" si="4"/>
        <v>49th</v>
      </c>
    </row>
    <row r="170" spans="1:6" x14ac:dyDescent="0.2">
      <c r="A170" s="2" t="s">
        <v>113</v>
      </c>
      <c r="B170" s="2" t="s">
        <v>5</v>
      </c>
      <c r="C170" s="2">
        <v>29</v>
      </c>
      <c r="D170" s="2">
        <v>66.8</v>
      </c>
      <c r="E170" s="2">
        <v>10</v>
      </c>
      <c r="F170" s="2" t="str">
        <f t="shared" si="4"/>
        <v>67th</v>
      </c>
    </row>
    <row r="171" spans="1:6" x14ac:dyDescent="0.2">
      <c r="A171" s="2" t="s">
        <v>113</v>
      </c>
      <c r="B171" s="2" t="s">
        <v>5</v>
      </c>
      <c r="C171" s="2">
        <v>30</v>
      </c>
      <c r="D171" s="2">
        <v>66.8</v>
      </c>
      <c r="E171" s="2">
        <v>10</v>
      </c>
      <c r="F171" s="2" t="str">
        <f t="shared" si="4"/>
        <v>67th</v>
      </c>
    </row>
    <row r="172" spans="1:6" x14ac:dyDescent="0.2">
      <c r="A172" s="2" t="s">
        <v>113</v>
      </c>
      <c r="B172" s="2" t="s">
        <v>5</v>
      </c>
      <c r="C172" s="2">
        <v>31</v>
      </c>
      <c r="D172" s="2">
        <v>66.8</v>
      </c>
      <c r="E172" s="2">
        <v>10</v>
      </c>
      <c r="F172" s="2" t="str">
        <f t="shared" si="4"/>
        <v>67th</v>
      </c>
    </row>
    <row r="173" spans="1:6" x14ac:dyDescent="0.2">
      <c r="A173" s="2" t="s">
        <v>113</v>
      </c>
      <c r="B173" s="2" t="s">
        <v>5</v>
      </c>
      <c r="C173" s="2">
        <v>32</v>
      </c>
      <c r="D173" s="2">
        <v>81.900000000000006</v>
      </c>
      <c r="E173" s="2">
        <v>11</v>
      </c>
      <c r="F173" s="2" t="str">
        <f t="shared" si="4"/>
        <v>82nd</v>
      </c>
    </row>
    <row r="174" spans="1:6" x14ac:dyDescent="0.2">
      <c r="A174" s="2" t="s">
        <v>113</v>
      </c>
      <c r="B174" s="2" t="s">
        <v>5</v>
      </c>
      <c r="C174" s="2">
        <v>33</v>
      </c>
      <c r="D174" s="2">
        <v>81.900000000000006</v>
      </c>
      <c r="E174" s="2">
        <v>11</v>
      </c>
      <c r="F174" s="2" t="str">
        <f t="shared" si="4"/>
        <v>82nd</v>
      </c>
    </row>
    <row r="175" spans="1:6" x14ac:dyDescent="0.2">
      <c r="A175" s="2" t="s">
        <v>113</v>
      </c>
      <c r="B175" s="2" t="s">
        <v>5</v>
      </c>
      <c r="C175" s="2">
        <v>34</v>
      </c>
      <c r="D175" s="2">
        <v>91.4</v>
      </c>
      <c r="E175" s="2">
        <v>12</v>
      </c>
      <c r="F175" s="2" t="str">
        <f t="shared" si="4"/>
        <v>91st</v>
      </c>
    </row>
    <row r="176" spans="1:6" x14ac:dyDescent="0.2">
      <c r="A176" s="2" t="s">
        <v>113</v>
      </c>
      <c r="B176" s="2" t="s">
        <v>5</v>
      </c>
      <c r="C176" s="2">
        <v>35</v>
      </c>
      <c r="D176" s="2">
        <v>91.4</v>
      </c>
      <c r="E176" s="2">
        <v>12</v>
      </c>
      <c r="F176" s="2" t="str">
        <f t="shared" si="4"/>
        <v>91st</v>
      </c>
    </row>
    <row r="177" spans="1:6" x14ac:dyDescent="0.2">
      <c r="A177" s="2" t="s">
        <v>113</v>
      </c>
      <c r="B177" s="2" t="s">
        <v>5</v>
      </c>
      <c r="C177" s="2">
        <v>36</v>
      </c>
      <c r="D177" s="2">
        <v>91.4</v>
      </c>
      <c r="E177" s="2">
        <v>12</v>
      </c>
      <c r="F177" s="2" t="str">
        <f t="shared" si="4"/>
        <v>91st</v>
      </c>
    </row>
    <row r="178" spans="1:6" x14ac:dyDescent="0.2">
      <c r="A178" s="2" t="s">
        <v>113</v>
      </c>
      <c r="B178" s="2" t="s">
        <v>5</v>
      </c>
      <c r="C178" s="2">
        <v>37</v>
      </c>
      <c r="D178" s="2">
        <v>96.5</v>
      </c>
      <c r="E178" s="2">
        <v>13</v>
      </c>
      <c r="F178" s="2" t="str">
        <f t="shared" si="4"/>
        <v>97th</v>
      </c>
    </row>
    <row r="179" spans="1:6" x14ac:dyDescent="0.2">
      <c r="A179" s="2" t="s">
        <v>113</v>
      </c>
      <c r="B179" s="2" t="s">
        <v>5</v>
      </c>
      <c r="C179" s="2">
        <v>38</v>
      </c>
      <c r="D179" s="2">
        <v>96.5</v>
      </c>
      <c r="E179" s="2">
        <v>13</v>
      </c>
      <c r="F179" s="2" t="str">
        <f t="shared" si="4"/>
        <v>97th</v>
      </c>
    </row>
    <row r="180" spans="1:6" x14ac:dyDescent="0.2">
      <c r="A180" s="2" t="s">
        <v>113</v>
      </c>
      <c r="B180" s="2" t="s">
        <v>5</v>
      </c>
      <c r="C180" s="2">
        <v>39</v>
      </c>
      <c r="D180" s="2">
        <v>96.5</v>
      </c>
      <c r="E180" s="2">
        <v>13</v>
      </c>
      <c r="F180" s="2" t="str">
        <f t="shared" si="4"/>
        <v>97th</v>
      </c>
    </row>
    <row r="181" spans="1:6" x14ac:dyDescent="0.2">
      <c r="A181" s="2" t="s">
        <v>113</v>
      </c>
      <c r="B181" s="2" t="s">
        <v>5</v>
      </c>
      <c r="C181" s="2">
        <v>40</v>
      </c>
      <c r="D181" s="2">
        <v>99</v>
      </c>
      <c r="E181" s="2">
        <v>14</v>
      </c>
      <c r="F181" s="2" t="str">
        <f t="shared" si="4"/>
        <v>99th</v>
      </c>
    </row>
    <row r="182" spans="1:6" x14ac:dyDescent="0.2">
      <c r="A182" s="2" t="s">
        <v>113</v>
      </c>
      <c r="B182" s="2" t="s">
        <v>5</v>
      </c>
      <c r="C182" s="2">
        <v>41</v>
      </c>
      <c r="D182" s="2">
        <v>99</v>
      </c>
      <c r="E182" s="2">
        <v>14</v>
      </c>
      <c r="F182" s="2" t="str">
        <f t="shared" si="4"/>
        <v>99th</v>
      </c>
    </row>
    <row r="183" spans="1:6" x14ac:dyDescent="0.2">
      <c r="A183" s="2" t="s">
        <v>113</v>
      </c>
      <c r="B183" s="2" t="s">
        <v>5</v>
      </c>
      <c r="C183" s="2">
        <v>42</v>
      </c>
      <c r="D183" s="2">
        <v>99</v>
      </c>
      <c r="E183" s="2">
        <v>14</v>
      </c>
      <c r="F183" s="2" t="str">
        <f t="shared" si="4"/>
        <v>99th</v>
      </c>
    </row>
    <row r="184" spans="1:6" x14ac:dyDescent="0.2">
      <c r="A184" s="2" t="s">
        <v>113</v>
      </c>
      <c r="B184" s="2" t="s">
        <v>5</v>
      </c>
      <c r="C184" s="2">
        <v>43</v>
      </c>
      <c r="D184" s="2">
        <v>99</v>
      </c>
      <c r="E184" s="2">
        <v>14</v>
      </c>
      <c r="F184" s="2" t="str">
        <f t="shared" si="4"/>
        <v>99th</v>
      </c>
    </row>
    <row r="185" spans="1:6" x14ac:dyDescent="0.2">
      <c r="A185" s="2" t="s">
        <v>113</v>
      </c>
      <c r="B185" s="2" t="s">
        <v>5</v>
      </c>
      <c r="C185" s="2">
        <v>44</v>
      </c>
      <c r="D185" s="2">
        <v>99</v>
      </c>
      <c r="E185" s="2">
        <v>14</v>
      </c>
      <c r="F185" s="2" t="str">
        <f t="shared" si="4"/>
        <v>99th</v>
      </c>
    </row>
    <row r="186" spans="1:6" x14ac:dyDescent="0.2">
      <c r="A186" s="2" t="s">
        <v>113</v>
      </c>
      <c r="B186" s="2" t="s">
        <v>5</v>
      </c>
      <c r="C186" s="2">
        <v>45</v>
      </c>
      <c r="D186" s="2">
        <v>99</v>
      </c>
      <c r="E186" s="2">
        <v>14</v>
      </c>
      <c r="F186" s="2" t="str">
        <f t="shared" si="4"/>
        <v>99th</v>
      </c>
    </row>
    <row r="187" spans="1:6" x14ac:dyDescent="0.2">
      <c r="A187" s="2" t="s">
        <v>113</v>
      </c>
      <c r="B187" s="2" t="s">
        <v>5</v>
      </c>
      <c r="C187" s="2">
        <v>46</v>
      </c>
      <c r="D187" s="2">
        <v>99.9</v>
      </c>
      <c r="E187" s="2">
        <v>15</v>
      </c>
      <c r="F187" s="2" t="str">
        <f t="shared" si="4"/>
        <v>100th</v>
      </c>
    </row>
    <row r="188" spans="1:6" x14ac:dyDescent="0.2">
      <c r="A188" s="2" t="s">
        <v>113</v>
      </c>
      <c r="B188" s="2" t="s">
        <v>5</v>
      </c>
      <c r="C188" s="2">
        <v>47</v>
      </c>
      <c r="D188" s="2">
        <v>99.9</v>
      </c>
      <c r="E188" s="2">
        <v>15</v>
      </c>
      <c r="F188" s="2" t="str">
        <f t="shared" si="4"/>
        <v>100th</v>
      </c>
    </row>
    <row r="189" spans="1:6" x14ac:dyDescent="0.2">
      <c r="A189" s="2" t="s">
        <v>113</v>
      </c>
      <c r="B189" s="2" t="s">
        <v>5</v>
      </c>
      <c r="C189" s="2">
        <v>48</v>
      </c>
      <c r="D189" s="2">
        <v>99.9</v>
      </c>
      <c r="E189" s="2">
        <v>15</v>
      </c>
      <c r="F189" s="2" t="str">
        <f t="shared" si="4"/>
        <v>100th</v>
      </c>
    </row>
    <row r="190" spans="1:6" x14ac:dyDescent="0.2">
      <c r="A190" s="2" t="s">
        <v>113</v>
      </c>
      <c r="B190" s="2" t="s">
        <v>5</v>
      </c>
      <c r="C190" s="2">
        <v>49</v>
      </c>
      <c r="D190" s="2">
        <v>99.9</v>
      </c>
      <c r="E190" s="2">
        <v>15</v>
      </c>
      <c r="F190" s="2" t="str">
        <f t="shared" si="4"/>
        <v>100th</v>
      </c>
    </row>
    <row r="191" spans="1:6" x14ac:dyDescent="0.2">
      <c r="A191" s="2" t="s">
        <v>113</v>
      </c>
      <c r="B191" s="2" t="s">
        <v>5</v>
      </c>
      <c r="C191" s="2">
        <v>50</v>
      </c>
      <c r="D191" s="2">
        <v>99.9</v>
      </c>
      <c r="E191" s="2">
        <v>15</v>
      </c>
      <c r="F191" s="2" t="str">
        <f t="shared" si="4"/>
        <v>100th</v>
      </c>
    </row>
    <row r="192" spans="1:6" x14ac:dyDescent="0.2">
      <c r="A192" s="2" t="s">
        <v>113</v>
      </c>
      <c r="B192" s="2" t="s">
        <v>5</v>
      </c>
      <c r="C192" s="2">
        <v>51</v>
      </c>
      <c r="D192" s="2">
        <v>99.9</v>
      </c>
      <c r="E192" s="2">
        <v>15</v>
      </c>
      <c r="F192" s="2" t="str">
        <f t="shared" si="4"/>
        <v>100th</v>
      </c>
    </row>
    <row r="193" spans="1:6" x14ac:dyDescent="0.2">
      <c r="A193" s="2" t="s">
        <v>113</v>
      </c>
      <c r="B193" s="2" t="s">
        <v>5</v>
      </c>
      <c r="C193" s="2">
        <v>52</v>
      </c>
      <c r="D193" s="2">
        <v>99.9</v>
      </c>
      <c r="E193" s="2">
        <v>15</v>
      </c>
      <c r="F193" s="2" t="str">
        <f t="shared" si="4"/>
        <v>100th</v>
      </c>
    </row>
    <row r="194" spans="1:6" x14ac:dyDescent="0.2">
      <c r="A194" s="2" t="s">
        <v>114</v>
      </c>
      <c r="B194" s="2" t="s">
        <v>3</v>
      </c>
      <c r="C194" s="2">
        <v>0</v>
      </c>
      <c r="D194" s="2">
        <v>0.1</v>
      </c>
      <c r="E194" s="2">
        <v>1</v>
      </c>
      <c r="F194" s="2" t="str">
        <f t="shared" si="4"/>
        <v>0th</v>
      </c>
    </row>
    <row r="195" spans="1:6" x14ac:dyDescent="0.2">
      <c r="A195" s="2" t="s">
        <v>114</v>
      </c>
      <c r="B195" s="2" t="s">
        <v>3</v>
      </c>
      <c r="C195" s="2">
        <v>1</v>
      </c>
      <c r="D195" s="2">
        <v>0.1</v>
      </c>
      <c r="E195" s="2">
        <v>1</v>
      </c>
      <c r="F195" s="2" t="str">
        <f t="shared" si="4"/>
        <v>0th</v>
      </c>
    </row>
    <row r="196" spans="1:6" x14ac:dyDescent="0.2">
      <c r="A196" s="2" t="s">
        <v>114</v>
      </c>
      <c r="B196" s="2" t="s">
        <v>3</v>
      </c>
      <c r="C196" s="2">
        <v>2</v>
      </c>
      <c r="D196" s="2">
        <v>0.1</v>
      </c>
      <c r="E196" s="2">
        <v>1</v>
      </c>
      <c r="F196" s="2" t="str">
        <f t="shared" si="4"/>
        <v>0th</v>
      </c>
    </row>
    <row r="197" spans="1:6" x14ac:dyDescent="0.2">
      <c r="A197" s="2" t="s">
        <v>114</v>
      </c>
      <c r="B197" s="2" t="s">
        <v>3</v>
      </c>
      <c r="C197" s="2">
        <v>3</v>
      </c>
      <c r="D197" s="2">
        <v>0.1</v>
      </c>
      <c r="E197" s="2">
        <v>1</v>
      </c>
      <c r="F197" s="2" t="str">
        <f t="shared" si="4"/>
        <v>0th</v>
      </c>
    </row>
    <row r="198" spans="1:6" x14ac:dyDescent="0.2">
      <c r="A198" s="2" t="s">
        <v>114</v>
      </c>
      <c r="B198" s="2" t="s">
        <v>3</v>
      </c>
      <c r="C198" s="2">
        <v>4</v>
      </c>
      <c r="D198" s="2">
        <v>0.1</v>
      </c>
      <c r="E198" s="2">
        <v>1</v>
      </c>
      <c r="F198" s="2" t="str">
        <f t="shared" si="4"/>
        <v>0th</v>
      </c>
    </row>
    <row r="199" spans="1:6" x14ac:dyDescent="0.2">
      <c r="A199" s="2" t="s">
        <v>114</v>
      </c>
      <c r="B199" s="2" t="s">
        <v>3</v>
      </c>
      <c r="C199" s="2">
        <v>5</v>
      </c>
      <c r="D199" s="2">
        <v>0.1</v>
      </c>
      <c r="E199" s="2">
        <v>1</v>
      </c>
      <c r="F199" s="2" t="str">
        <f t="shared" si="4"/>
        <v>0th</v>
      </c>
    </row>
    <row r="200" spans="1:6" x14ac:dyDescent="0.2">
      <c r="A200" s="2" t="s">
        <v>114</v>
      </c>
      <c r="B200" s="2" t="s">
        <v>3</v>
      </c>
      <c r="C200" s="2">
        <v>6</v>
      </c>
      <c r="D200" s="2">
        <v>0.3</v>
      </c>
      <c r="E200" s="2">
        <v>2</v>
      </c>
      <c r="F200" s="2" t="str">
        <f t="shared" si="4"/>
        <v>0th</v>
      </c>
    </row>
    <row r="201" spans="1:6" x14ac:dyDescent="0.2">
      <c r="A201" s="2" t="s">
        <v>114</v>
      </c>
      <c r="B201" s="2" t="s">
        <v>3</v>
      </c>
      <c r="C201" s="2">
        <v>7</v>
      </c>
      <c r="D201" s="2">
        <v>0.3</v>
      </c>
      <c r="E201" s="2">
        <v>2</v>
      </c>
      <c r="F201" s="2" t="str">
        <f t="shared" si="4"/>
        <v>0th</v>
      </c>
    </row>
    <row r="202" spans="1:6" x14ac:dyDescent="0.2">
      <c r="A202" s="2" t="s">
        <v>114</v>
      </c>
      <c r="B202" s="2" t="s">
        <v>3</v>
      </c>
      <c r="C202" s="2">
        <v>8</v>
      </c>
      <c r="D202" s="2">
        <v>0.3</v>
      </c>
      <c r="E202" s="2">
        <v>2</v>
      </c>
      <c r="F202" s="2" t="str">
        <f t="shared" si="4"/>
        <v>0th</v>
      </c>
    </row>
  </sheetData>
  <pageMargins left="0.7" right="0.7" top="0.75" bottom="0.75" header="0.3" footer="0.3"/>
  <pageSetup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P2"/>
  <sheetViews>
    <sheetView workbookViewId="0">
      <selection activeCell="D2" sqref="D2"/>
    </sheetView>
  </sheetViews>
  <sheetFormatPr defaultRowHeight="15" x14ac:dyDescent="0.25"/>
  <cols>
    <col min="1" max="1" width="15" style="1" customWidth="1" collapsed="1"/>
    <col min="2" max="2" width="19" style="1" customWidth="1" collapsed="1"/>
    <col min="3" max="3" width="33.42578125" style="1" customWidth="1" collapsed="1"/>
    <col min="4" max="4" width="9.42578125" style="1" customWidth="1" collapsed="1"/>
    <col min="5" max="5" width="9.140625" style="1" customWidth="1" collapsed="1"/>
    <col min="6" max="6" width="32.140625" style="1" customWidth="1" collapsed="1"/>
    <col min="7" max="7" width="9.140625" style="1" customWidth="1" collapsed="1"/>
    <col min="8" max="8" width="31.42578125" style="1" customWidth="1" collapsed="1"/>
    <col min="9" max="9" width="9.140625" style="1" customWidth="1" collapsed="1"/>
    <col min="10" max="10" width="32.5703125" style="1" customWidth="1" collapsed="1"/>
    <col min="11" max="11" width="9.140625" style="1" customWidth="1" collapsed="1"/>
    <col min="12" max="12" width="32.5703125" style="1" customWidth="1" collapsed="1"/>
    <col min="13" max="13" width="30.5703125" style="1" customWidth="1" collapsed="1"/>
    <col min="14" max="14" width="28.140625" style="1" customWidth="1" collapsed="1"/>
    <col min="15" max="15" width="18.85546875" customWidth="1" collapsed="1"/>
  </cols>
  <sheetData>
    <row r="1" spans="1:16" s="15" customFormat="1" ht="23.25" x14ac:dyDescent="0.25">
      <c r="A1" s="14" t="s">
        <v>75</v>
      </c>
      <c r="B1" s="14" t="s">
        <v>68</v>
      </c>
      <c r="C1" s="14" t="s">
        <v>76</v>
      </c>
      <c r="D1" s="14" t="s">
        <v>69</v>
      </c>
      <c r="E1" s="14" t="s">
        <v>78</v>
      </c>
      <c r="F1" s="14" t="s">
        <v>72</v>
      </c>
      <c r="G1" s="14" t="s">
        <v>79</v>
      </c>
      <c r="H1" s="14" t="s">
        <v>71</v>
      </c>
      <c r="I1" s="14" t="s">
        <v>80</v>
      </c>
      <c r="J1" s="14" t="s">
        <v>70</v>
      </c>
      <c r="K1" s="14" t="s">
        <v>81</v>
      </c>
      <c r="L1" s="14" t="s">
        <v>74</v>
      </c>
      <c r="M1" s="14" t="s">
        <v>77</v>
      </c>
      <c r="N1" s="14" t="s">
        <v>73</v>
      </c>
      <c r="O1" s="14" t="s">
        <v>92</v>
      </c>
      <c r="P1" s="14" t="s">
        <v>94</v>
      </c>
    </row>
    <row r="2" spans="1:16" ht="113.25" x14ac:dyDescent="0.25">
      <c r="A2" s="1" t="s">
        <v>113</v>
      </c>
      <c r="B2" s="1" t="s">
        <v>154</v>
      </c>
      <c r="C2" s="1" t="s">
        <v>951</v>
      </c>
      <c r="D2" s="1">
        <v>3</v>
      </c>
      <c r="E2" s="1" t="s">
        <v>61</v>
      </c>
      <c r="F2" s="1" t="s">
        <v>89</v>
      </c>
      <c r="G2" s="1" t="s">
        <v>59</v>
      </c>
      <c r="H2" s="1" t="s">
        <v>952</v>
      </c>
      <c r="I2" s="1" t="s">
        <v>60</v>
      </c>
      <c r="J2" s="1" t="s">
        <v>90</v>
      </c>
      <c r="M2" s="1" t="s">
        <v>953</v>
      </c>
      <c r="N2" s="1" t="s">
        <v>954</v>
      </c>
      <c r="O2" s="1" t="s">
        <v>955</v>
      </c>
      <c r="P2" s="1" t="s">
        <v>93</v>
      </c>
    </row>
  </sheetData>
  <pageMargins left="0.7" right="0.7" top="0.75" bottom="0.75" header="0.3" footer="0.3"/>
  <pageSetup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FL8</vt:lpstr>
      <vt:lpstr>FL8_QA</vt:lpstr>
      <vt:lpstr>ItemReview</vt:lpstr>
      <vt:lpstr>Translation</vt:lpstr>
      <vt:lpstr>Test_Directions</vt:lpstr>
    </vt:vector>
  </TitlesOfParts>
  <Company>Marlabs Inc</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Sivaprasanna Vanapalli</dc:creator>
  <cp:lastModifiedBy>SivaPrasanna Vanapalli</cp:lastModifiedBy>
  <dcterms:created xsi:type="dcterms:W3CDTF">2013-07-24T14:56:46Z</dcterms:created>
  <dcterms:modified xsi:type="dcterms:W3CDTF">2014-06-27T19:22:29Z</dcterms:modified>
</cp:coreProperties>
</file>