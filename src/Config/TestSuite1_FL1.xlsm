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1" sheetId="10" r:id="rId1"/>
    <sheet name="FL1_QA" sheetId="16"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6" i="10" l="1"/>
  <c r="F47" i="8" l="1"/>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K145" i="10" l="1"/>
  <c r="K144" i="10"/>
  <c r="K143" i="10"/>
  <c r="K142" i="10"/>
  <c r="K141" i="10"/>
  <c r="K140" i="10"/>
  <c r="K139" i="10"/>
  <c r="K138" i="10"/>
  <c r="K137" i="10"/>
  <c r="K136" i="10"/>
  <c r="K135" i="10"/>
  <c r="K134" i="10"/>
  <c r="K133" i="10"/>
  <c r="K93" i="10"/>
  <c r="K92" i="10"/>
  <c r="K91" i="10"/>
  <c r="K90" i="10"/>
  <c r="K89" i="10"/>
  <c r="K88" i="10"/>
  <c r="K87" i="10"/>
  <c r="K86" i="10"/>
  <c r="K53" i="10"/>
  <c r="K52" i="10"/>
  <c r="K51" i="10"/>
  <c r="K50" i="10"/>
  <c r="K49" i="10"/>
  <c r="K48" i="10"/>
  <c r="K47" i="10"/>
  <c r="K46" i="10"/>
  <c r="K45" i="10"/>
  <c r="K44" i="10"/>
  <c r="K43" i="10"/>
  <c r="K42" i="10"/>
  <c r="K41"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40" i="10"/>
  <c r="K39" i="10"/>
  <c r="K38" i="10"/>
  <c r="K37" i="10"/>
  <c r="K36" i="10"/>
  <c r="K35" i="10"/>
  <c r="K34" i="10"/>
  <c r="K33" i="10"/>
  <c r="K32" i="10"/>
  <c r="K31" i="10"/>
  <c r="K30" i="10"/>
  <c r="K29" i="10"/>
  <c r="K28" i="10"/>
  <c r="K27" i="10"/>
  <c r="K26" i="10"/>
  <c r="K25" i="10"/>
  <c r="K24" i="10"/>
  <c r="K23" i="10"/>
  <c r="K22" i="10"/>
  <c r="K21" i="10"/>
  <c r="K20" i="10"/>
  <c r="K19" i="10"/>
  <c r="K18" i="10"/>
  <c r="K17" i="10"/>
  <c r="K16" i="10"/>
  <c r="K15" i="10"/>
  <c r="K14" i="10"/>
  <c r="K13" i="10"/>
  <c r="K12" i="10"/>
  <c r="K11" i="10"/>
  <c r="K10" i="10"/>
  <c r="K9" i="10"/>
  <c r="K8" i="10"/>
  <c r="K7" i="10"/>
  <c r="K6" i="10"/>
  <c r="K5" i="10"/>
  <c r="K4" i="10"/>
  <c r="K3" i="10"/>
  <c r="K2" i="10"/>
</calcChain>
</file>

<file path=xl/sharedStrings.xml><?xml version="1.0" encoding="utf-8"?>
<sst xmlns="http://schemas.openxmlformats.org/spreadsheetml/2006/main" count="2375" uniqueCount="957">
  <si>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</si>
  <si>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</si>
  <si>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</si>
  <si>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</si>
  <si>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</si>
  <si>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</si>
  <si>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</si>
  <si>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</si>
  <si>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</si>
  <si>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</si>
  <si>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</si>
  <si>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</si>
  <si>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</si>
  <si>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</si>
  <si>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</si>
  <si>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</si>
  <si>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</si>
  <si>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</si>
  <si>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</si>
  <si>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</si>
  <si>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</si>
  <si>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</si>
  <si>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</si>
  <si>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</si>
  <si>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</si>
  <si>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</si>
  <si>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</si>
  <si>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</si>
  <si>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5th</t>
  </si>
  <si>
    <t>3rd</t>
  </si>
  <si>
    <t>Topic</t>
  </si>
  <si>
    <t>Compounds and Stoichiometry</t>
  </si>
  <si>
    <t>Gases</t>
  </si>
  <si>
    <t>Units and Kinematics</t>
  </si>
  <si>
    <t>Newtonian Mechanics</t>
  </si>
  <si>
    <t>Atomic Phenomena</t>
  </si>
  <si>
    <t>Acids and Bases</t>
  </si>
  <si>
    <t>Electrostatics</t>
  </si>
  <si>
    <t>Magnetism</t>
  </si>
  <si>
    <t>Atomic and Electronic Structure</t>
  </si>
  <si>
    <t>Geometrical Optics</t>
  </si>
  <si>
    <t>Detail</t>
  </si>
  <si>
    <t>Evaluation</t>
  </si>
  <si>
    <t>Global</t>
  </si>
  <si>
    <t>Application</t>
  </si>
  <si>
    <t>Deduction</t>
  </si>
  <si>
    <t>Endocrine System</t>
  </si>
  <si>
    <t>Enzymes and Cellular Metabolism</t>
  </si>
  <si>
    <t>Hydrocarbons</t>
  </si>
  <si>
    <t>Isomerism</t>
  </si>
  <si>
    <t>Circulatory System</t>
  </si>
  <si>
    <t>Amino Acids and Proteins</t>
  </si>
  <si>
    <t>Molecular Biology</t>
  </si>
  <si>
    <t>Generalized Eukaryotic Cell</t>
  </si>
  <si>
    <t>Aromaticity</t>
  </si>
  <si>
    <t>Separation and Purification Techniques</t>
  </si>
  <si>
    <t>Mendelian Genetics</t>
  </si>
  <si>
    <t>Reproduction and Development</t>
  </si>
  <si>
    <t>Lymphatic and Immune Systems</t>
  </si>
  <si>
    <t>TabLabel</t>
  </si>
  <si>
    <t>None</t>
  </si>
  <si>
    <t>Verbal Reasoning</t>
  </si>
  <si>
    <t>Biological Sciences</t>
  </si>
  <si>
    <t>Physical Sciences</t>
  </si>
  <si>
    <t>Expected_Result</t>
  </si>
  <si>
    <t>Fail</t>
  </si>
  <si>
    <t>Pass</t>
  </si>
  <si>
    <t>ScaledScore</t>
  </si>
  <si>
    <t>Actual_Answer</t>
  </si>
  <si>
    <t>Actual_Topic</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</si>
  <si>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</si>
  <si>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</si>
  <si>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</si>
  <si>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</si>
  <si>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</si>
  <si>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</si>
  <si>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</si>
  <si>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</si>
  <si>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</si>
  <si>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</si>
  <si>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</si>
  <si>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</si>
  <si>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</si>
  <si>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</si>
  <si>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</si>
  <si>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</si>
  <si>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</si>
  <si>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</si>
  <si>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</si>
  <si>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</si>
  <si>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</si>
  <si>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</si>
  <si>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</si>
  <si>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</si>
  <si>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</si>
  <si>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FL1</t>
  </si>
  <si>
    <t>MCAT Full Length 1 - MCAT Full Length 1</t>
  </si>
  <si>
    <t>Physical Sciences - 52 questions, 70 minutes</t>
  </si>
  <si>
    <t>Biological Sciences - 52 questions, 70 minutes</t>
  </si>
  <si>
    <t>Passage VII</t>
  </si>
  <si>
    <t>MCAT Full Length 1 - Physical Sciences</t>
  </si>
  <si>
    <t>MCAT Full Length 1 - Verbal Reasoning</t>
  </si>
  <si>
    <t>MCAT Full Length 1 - Biological Sciences</t>
  </si>
  <si>
    <t>hds020255.01</t>
  </si>
  <si>
    <t>Break_Title</t>
  </si>
  <si>
    <t>This is an authorized break.</t>
  </si>
  <si>
    <t>Break_Message</t>
  </si>
  <si>
    <t>I and II only</t>
  </si>
  <si>
    <t>I and III only</t>
  </si>
  <si>
    <t>II and III only</t>
  </si>
  <si>
    <t>I, II, and III</t>
  </si>
  <si>
    <t/>
  </si>
  <si>
    <t>I only</t>
  </si>
  <si>
    <t>III only</t>
  </si>
  <si>
    <t>10</t>
  </si>
  <si>
    <t>2:1</t>
  </si>
  <si>
    <t>1:1</t>
  </si>
  <si>
    <t>There is no passage associated with these questions.</t>
  </si>
  <si>
    <t>20</t>
  </si>
  <si>
    <t>The primary purpose of the passage is to:</t>
  </si>
  <si>
    <t>Cannot be determined</t>
  </si>
  <si>
    <t>II and IV only</t>
  </si>
  <si>
    <t>I, II, III, and IV</t>
  </si>
  <si>
    <t>25%</t>
  </si>
  <si>
    <t>Total</t>
  </si>
  <si>
    <t>Percentile_Num</t>
  </si>
  <si>
    <t>Percentile_th</t>
  </si>
  <si>
    <t>Totals</t>
  </si>
  <si>
    <t>If a pinhole were made in a container containing a mixture of equal amounts of H2, O2, N2 and CO2, which gas would have the fastest effusion rate?</t>
  </si>
  <si>
    <t>1</t>
  </si>
  <si>
    <t>H2</t>
  </si>
  <si>
    <t>O2</t>
  </si>
  <si>
    <t>N2</t>
  </si>
  <si>
    <t>CO2</t>
  </si>
  <si>
    <t>The mean free path of a gas will be longer if the</t>
  </si>
  <si>
    <t>2</t>
  </si>
  <si>
    <t>pressure of the gas is increased.</t>
  </si>
  <si>
    <t>number of gas particles per unit volume is increased</t>
  </si>
  <si>
    <t>distance between collisions is decreased.</t>
  </si>
  <si>
    <t>pressure of the gas is decreased.</t>
  </si>
  <si>
    <t>What is the relative rate of effusion for a mixture of two noble gases, GA and GB, which escape through the same pinhole?</t>
  </si>
  <si>
    <t>3</t>
  </si>
  <si>
    <t>The average kinetic energy of an ideal gas can be directly related to the:</t>
  </si>
  <si>
    <t>4</t>
  </si>
  <si>
    <t>rms speed</t>
  </si>
  <si>
    <t>temperature</t>
  </si>
  <si>
    <t>Boltzmann constant</t>
  </si>
  <si>
    <t>universal gas constant.</t>
  </si>
  <si>
    <t>Which of the following will have the smallest root mean square speed at 298 K?</t>
  </si>
  <si>
    <t>Cl2(g)</t>
  </si>
  <si>
    <t>O2(g)</t>
  </si>
  <si>
    <t>CO2(g)</t>
  </si>
  <si>
    <t>N2(g)</t>
  </si>
  <si>
    <t>The equation of state of an ideal gas is given by the ideal gas law:</t>
  </si>
  <si>
    <t>If the defibrillator has a capacitance of 10 µF, how much charge will build up on the two plates?</t>
  </si>
  <si>
    <t>6</t>
  </si>
  <si>
    <t>0.08 C</t>
  </si>
  <si>
    <t>1.6 × 10–3 C</t>
  </si>
  <si>
    <t>6.25 × 10–8 C</t>
  </si>
  <si>
    <t>1.25 × 10–9 C</t>
  </si>
  <si>
    <t>The plates of the capacitor are originally separated by a vacuum. If a dielectric κ &gt; 1 is introduced between the plates of the capacitor, and the capacitor is allowed to charge up, which of the following statements is/are true?</t>
  </si>
  <si>
    <t>Why is it important to insure that the patient is not in electrical contact with the ground while the defibrillator is in use?</t>
  </si>
  <si>
    <t>Contact with the ground will decrease the resistance across the patient's body.</t>
  </si>
  <si>
    <t>The doctor administering the treatment will be in greater danger of receiving an electric shock if the patient is in electrical contact with the ground.</t>
  </si>
  <si>
    <t>Contact with the ground will cause a smaller current to pass through the patient's heart.</t>
  </si>
  <si>
    <t>The patient receiving the treatment will be in greater danger of receiving burns due to the high current density if he is in electrical contact with the ground.</t>
  </si>
  <si>
    <t>If a dielectric was inserted between the plates of the capacitor in the defibrillator when the switch is in position A:</t>
  </si>
  <si>
    <t>the energy stored in the capacitor would increase.</t>
  </si>
  <si>
    <t>the energy stored in the capacitor would decrease.</t>
  </si>
  <si>
    <t>the electric field between the plates would increase.</t>
  </si>
  <si>
    <t>the electric field between the plates would decrease.</t>
  </si>
  <si>
    <t>The periodic beating of the heart is controlled by electrical impulses that originate within the cardiac muscle itself. These pulses travel to the sinoatrial node and from there to the atria and the ventricles, causing the cardiac muscles to contract. If a current of a few hundred milliamperes passes through the heart, it will interfere with this natural system, and may cause the heart to beat erratically. This condition is known as ventricular fibrillation, and is life-threatening. If, however, a larger current of about 5 to 6 amps is passed through the heart, a sustained ventricular contraction will occur. The cardiac muscle cannot relax, and the heart stops beating. If at this point the muscle is allowed to relax, a regular heartbeat will usually resume.</t>
  </si>
  <si>
    <t>Despite the fact that they are both triatomic, BeF2 is linear and SO2 is bent. Which of the following explains the difference between the geometries of these molecules?</t>
  </si>
  <si>
    <t>Be has lone electron pairs while S does not.</t>
  </si>
  <si>
    <t>S has lone electron pairs while Be does not.</t>
  </si>
  <si>
    <t>Be is sp hybridized while S is sp3 hybridized</t>
  </si>
  <si>
    <t>S is sp hybridized while Be is sp3 hybridized.</t>
  </si>
  <si>
    <t>Three balloons are each filled with a different gas so that they are equal in volume at 80°C. The temperature is then decreased to 0°C, and the volume and mass of the contents of each balloon are recorded. Which of the following statements correctly describes the results?</t>
  </si>
  <si>
    <t>The contents will be equal in both mass and volume.</t>
  </si>
  <si>
    <t>The contents will be equal in mass but will differ in volume.</t>
  </si>
  <si>
    <t>The contents will differ in mass but will be equal in volume.</t>
  </si>
  <si>
    <t>The contents will differ in both mass and volume.</t>
  </si>
  <si>
    <t>A 2-kg object slides down an incline with an angle of 30° to the horizontal. If the force of friction is 2-N, what is the acceleration of the object?</t>
  </si>
  <si>
    <t>9.8 m/s2</t>
  </si>
  <si>
    <t>8 m/s2</t>
  </si>
  <si>
    <t>5 m/s2</t>
  </si>
  <si>
    <t>3.9 m/s2</t>
  </si>
  <si>
    <t>Suppose an α-particle starting from rest is accelerated through a 5 megavolt potential difference. What is the final kinetic energy of the α-particle? (Note: Assume that e = 1.6 x 10–19 C.)</t>
  </si>
  <si>
    <t>1.6 x 10–12 J</t>
  </si>
  <si>
    <t>8.0 x 10–13 J</t>
  </si>
  <si>
    <t>6.4 x 10–26 J</t>
  </si>
  <si>
    <t>3.2 x 10–26 J</t>
  </si>
  <si>
    <t>Which column(s) in Table 1 represent(s) the permanent charge of the soil micelles?</t>
  </si>
  <si>
    <t>Al3</t>
  </si>
  <si>
    <t>H+</t>
  </si>
  <si>
    <t>Al3+ and Basic Cations</t>
  </si>
  <si>
    <t>Al3+ and H+</t>
  </si>
  <si>
    <t>What percentage of the cation exchange capacity of Sample I is base-saturated?</t>
  </si>
  <si>
    <t>4%</t>
  </si>
  <si>
    <t>6%</t>
  </si>
  <si>
    <t>29%</t>
  </si>
  <si>
    <t>40%</t>
  </si>
  <si>
    <t>Which soil from Table 1 most likely has the highest percentage of organic matter?</t>
  </si>
  <si>
    <t>I</t>
  </si>
  <si>
    <t>II</t>
  </si>
  <si>
    <t>III</t>
  </si>
  <si>
    <t>What would be the effect of leaching the three soil samples in Table 1 with a buffered BaCl2 solution at pH 9.5 instead of 8.3?</t>
  </si>
  <si>
    <t>The measured permanent charge would be greater.</t>
  </si>
  <si>
    <t>The measured pH-dependent charge would be greater.</t>
  </si>
  <si>
    <t>The measured permanent charge would be smaller.</t>
  </si>
  <si>
    <t>The measured pH-dependent charge would be smaller.</t>
  </si>
  <si>
    <t>The amount of soil on a particular one-acre field down to a depth of one furrow slice weighs 9 × 105 kilograms. Based on Figure 2, how many kilograms of CaCO3 would have to be added to this field to raise the pH from 5 to 6?</t>
  </si>
  <si>
    <t>900 kg</t>
  </si>
  <si>
    <t>1800 kg</t>
  </si>
  <si>
    <t>9 × 105 kg</t>
  </si>
  <si>
    <t>1.8 × 106 kg</t>
  </si>
  <si>
    <t>Which of the following would probably NOT displace Al3+ in soil micelles?</t>
  </si>
  <si>
    <t>Na+</t>
  </si>
  <si>
    <t>Mg2+</t>
  </si>
  <si>
    <t>Si4+</t>
  </si>
  <si>
    <t>Cr2+</t>
  </si>
  <si>
    <t>Anaerobic organisms are able to denitrify wet soils by the following metabolic pathway.</t>
  </si>
  <si>
    <t>30</t>
  </si>
  <si>
    <t>40</t>
  </si>
  <si>
    <t>50</t>
  </si>
  <si>
    <t>Many nutrients required by plants exist in soil as basic cations: Mg2+, Mn2+, and Ca2+. A soil's cation-exchange capacity is a measure of its ability to adsorb these basic cations as well as exchangeable hydrogen and aluminum ions. The cation-exchange capacity of soil is derived from two sources: small clay particles called micelles consisting of alternating layers of alumina and silica crystals, and organic colloids.</t>
  </si>
  <si>
    <t>The photons emitted by the mercury vapor have energies:</t>
  </si>
  <si>
    <t>equal to the energies of the electric current.</t>
  </si>
  <si>
    <t>equal to the voltage across the tube.</t>
  </si>
  <si>
    <t>equal to the energy differences between electron orbitals in the mercury atom.</t>
  </si>
  <si>
    <t>less than or equal to the energy differences between the electron orbitals of the mercury atom.</t>
  </si>
  <si>
    <t>If the fluorescent light is left on for 4 hours, how much useful energy is emitted as light?</t>
  </si>
  <si>
    <t>144 kJ</t>
  </si>
  <si>
    <t>432 kJ</t>
  </si>
  <si>
    <t>576 kJ</t>
  </si>
  <si>
    <t>900 kJ</t>
  </si>
  <si>
    <t>As the excited electrons in the coating drop back to their ground states in more than one step, they will emit light of:</t>
  </si>
  <si>
    <t>higher frequency than the light absorbed.</t>
  </si>
  <si>
    <t>longer wavelength than the light absorbed.</t>
  </si>
  <si>
    <t>the same wavelength as the light absorbed.</t>
  </si>
  <si>
    <t>greater energy than the light absorbed.</t>
  </si>
  <si>
    <t>Some fluorescent light bulbs are observed to glow for a short period after their power supply has been turned off. This glow is generated mainly by:</t>
  </si>
  <si>
    <t>the incandescence of the hot ionic gas within the bulb surface.</t>
  </si>
  <si>
    <t>emission of light stored as vibrational kinetic energy in the phosphor coating.</t>
  </si>
  <si>
    <t>the dissipation of electric charge built up on the bulb's surface.</t>
  </si>
  <si>
    <t>electrons returning to the ground state from excited states after the power was shut off.</t>
  </si>
  <si>
    <t>The lamp also emits a small proportion of ultraviolet light in addition to the light emitted in the visible spectrum. This ultraviolet light is incident on a metal that has a work function, which is the minimum energy necessary to free an electron, of 2.00 eV. What will be the kinetic energy of an electron that is ejected from the metal if the frequency of the incident light is 1.2 x 1015 Hz? (Note: h = 4.14 x 10-15 eV•s.)?</t>
  </si>
  <si>
    <t>9.936 eV</t>
  </si>
  <si>
    <t>6.948 eV</t>
  </si>
  <si>
    <t>4.968 eV</t>
  </si>
  <si>
    <t>2.968 eV</t>
  </si>
  <si>
    <t>When light in the ultraviolet region of the spectrum is shone on a type of material known as a phosphor, it fluoresces and emits light in the visible region of the spectrum. Lamps that utilize this property, known as fluorescent lamps, are very efficient light sources. The arrangement of a typical fluorescent lamp is shown below. The lamp is a glass tube whose inside walls are covered with a phosphor. The tube has an appreciable length-to-diameter ratio so as to reduce the power losses at each end, and it is filled with argon gas mixed with mercury vapor. Inside each end of the tube are tungsten electrodes covered with an emission material.</t>
  </si>
  <si>
    <t>A converging lens has a focal length of 8 cm. If the object is 10 cm to the left of the lens, what are the position of the image formed and the magnification of the lens?</t>
  </si>
  <si>
    <t>0.025 cm to the right of the lens and 0.0025×</t>
  </si>
  <si>
    <t>4.4 cm to the right of the lens and 0.4×</t>
  </si>
  <si>
    <t>40 cm to the right of the lens and 4×</t>
  </si>
  <si>
    <t>40 cm to the left of the lens and 4×</t>
  </si>
  <si>
    <t>An electron travels in the plane of the page from left to right, perpendicular to a magnetic field that points into the page. The direction of the resulting magnetic force on the electron will be in the plane of the page and:</t>
  </si>
  <si>
    <t>upwards.</t>
  </si>
  <si>
    <t>downwards.</t>
  </si>
  <si>
    <t>to the left.</t>
  </si>
  <si>
    <t>to the right.</t>
  </si>
  <si>
    <t>How much solid NaOH is required to neutralize 700 mL of 2 N HNO3?</t>
  </si>
  <si>
    <t>40 g</t>
  </si>
  <si>
    <t>48 g</t>
  </si>
  <si>
    <t>56 g</t>
  </si>
  <si>
    <t>64 g</t>
  </si>
  <si>
    <t>A body is dropped from a height of 30 m on Earth and hits the ground with a velocity ve. The body is then taken to the Moon, which has a gravitational acceleration 1/6 that of Earth. It is again dropped from a height of 30 m, hitting the Moon with a velocity of vm. What is the ratio of vm/ve?</t>
  </si>
  <si>
    <t>1/6</t>
  </si>
  <si>
    <t>36</t>
  </si>
  <si>
    <t>Which of the following four depictions of molecular π orbitals represents the highest energy state for a 6-carbon polyene molecule? (The signs given are the signs for the mathematical functions defining the p orbitals on one side of the molecule.)</t>
  </si>
  <si>
    <t>Among conjugated polyenes (molecules with alternating carbon-carbon double and single bonds) why are those that are longer able to absorb longer wavelengths of light?</t>
  </si>
  <si>
    <t>Larger molecular orbitals have a lower ground state.</t>
  </si>
  <si>
    <t>A longer wavelength is better able to interact with a longer molecular orbital.</t>
  </si>
  <si>
    <t>The larger number of molecular orbitals allows for smaller energy transitions.</t>
  </si>
  <si>
    <t>Larger molecular orbitals can absorb more energy.</t>
  </si>
  <si>
    <t>Given the order in which orbitals are filled, which molecule is a triplet in its ground state?</t>
  </si>
  <si>
    <t>F2</t>
  </si>
  <si>
    <t>Molecular orbitals in hydrocarbons are formed between the 1s atomic orbital of hydrogen and the sp, sp2, or sp3 hybrid atomic orbitals of carbon. Which choice correctly lists the energy level of the C-H bonds, from lowest to highest</t>
  </si>
  <si>
    <t>Which of the following figures describes the shape of σ*2pz molecular orbital?</t>
  </si>
  <si>
    <t>The quantum number that distinguishes the px orbital from the py orbital is called the:</t>
  </si>
  <si>
    <t>azimuthal quantum number.</t>
  </si>
  <si>
    <t>magnetic quantum number.</t>
  </si>
  <si>
    <t>principal quantum number.</t>
  </si>
  <si>
    <t>spin quantum number.</t>
  </si>
  <si>
    <t>Every atomic orbital contains plus and minus regions, defined by the value of the quantum mechanical function for electron density. When orbitals from different atoms overlap to form bonds, an equal number of new molecular orbitals results. These are of two types: σ or π bonding orbitals, formed by overlap between orbital regions with the same sign, and antibonding σ* or π* orbitals, formed by overlap between regions with opposite signs. Bonding orbitals have lower energy than their component atomic orbitals, and antibonding orbitals have higher energy. The electron pairs reside in the lower-energy bonding orbitals; the higher-energy, less stable orbitals remain empty when the molecule is in its ground state.</t>
  </si>
  <si>
    <t>How would the speed of a skier leaving the jump ramp change if the vertical height of the jump ramp were increased from its original height of 10 meters?</t>
  </si>
  <si>
    <t>increase</t>
  </si>
  <si>
    <t>decrease</t>
  </si>
  <si>
    <t>remain the same</t>
  </si>
  <si>
    <t>The answer depends on the incline angle of the jump ramp.</t>
  </si>
  <si>
    <t>Another ski jumper sets off from a point farther down the jump track, and leaves the ramp at a speed of 16 m/s. If the time in flight is 4 s, what is the total horizontal distance traveled by the ski jumper after leaving the ramp?</t>
  </si>
  <si>
    <t>4 m</t>
  </si>
  <si>
    <t>m</t>
  </si>
  <si>
    <t>48 m</t>
  </si>
  <si>
    <t>Which of the following would increase the jump distance?</t>
  </si>
  <si>
    <t>How would the work done by gravity on the skier when she skis down the track compare with the work done by gravity on the skier if she fell the same vertical height?</t>
  </si>
  <si>
    <t>Less work would be done on the skier when she skis down the track.</t>
  </si>
  <si>
    <t>More work would be done on the skier when she skis down the track</t>
  </si>
  <si>
    <t>Equal amounts of work would be done.</t>
  </si>
  <si>
    <t>The answer depends on the angle of the track</t>
  </si>
  <si>
    <t>What is the acceleration of an 80-kg skier going down the track if θ = 45°?</t>
  </si>
  <si>
    <t>6.9 m/s2</t>
  </si>
  <si>
    <t>13.9 m/s2</t>
  </si>
  <si>
    <t>80 m/s2</t>
  </si>
  <si>
    <t>If a skier uses skis of greater surface area, which of the following would occur?</t>
  </si>
  <si>
    <t>The normal force of the slope on the skier would increase.</t>
  </si>
  <si>
    <t>The normal force of the slope on the skier would decrease.</t>
  </si>
  <si>
    <t>The pressure exerted on the slope by the skis would increase.</t>
  </si>
  <si>
    <t>The pressure exerted on the slope by the skis would decrease.</t>
  </si>
  <si>
    <t>A ski jump is an inclined track from which a ski jumper takes off through the air. After traveling down the track, the skier takes off from a ramp at the bottom of the track. The skier lands farther down on the slope.</t>
  </si>
  <si>
    <t>In the first experiment, what is the mass of the object hanging from the spring?</t>
  </si>
  <si>
    <t>kL/g</t>
  </si>
  <si>
    <t>kL0/g</t>
  </si>
  <si>
    <t>k(L – L0)/g</t>
  </si>
  <si>
    <t>k/g</t>
  </si>
  <si>
    <t>The mass in the first experiment is pulled down a distance A from its equilibrium position and then released from rest. The mass will then oscillate with simple harmonic motion. As the mass moves up and down, energy is dissipated due to factors such as air resistance and internal heating of the spring. The mass will no longer oscillate when the total energy dissipated equals:</t>
  </si>
  <si>
    <t>kL2/2</t>
  </si>
  <si>
    <t>kA2/2</t>
  </si>
  <si>
    <t>k(L + A)2/2</t>
  </si>
  <si>
    <t>kL02/2</t>
  </si>
  <si>
    <t>In the first experiment the mass is pulled down and set into motion. The position of greatest speed is:</t>
  </si>
  <si>
    <t>at the equilibrium position.</t>
  </si>
  <si>
    <t>at the position where the spring's length is its natural length.</t>
  </si>
  <si>
    <t>at the lowest point in its motion.</t>
  </si>
  <si>
    <t>at the highest point in its motion.</t>
  </si>
  <si>
    <t>In the first experiment, when a 5-kg mass is oscillating, the frequency of oscillation is 2 Hz. What is the value of the spring constant?</t>
  </si>
  <si>
    <t>The two springs in Experiment 2 are replaced by a single spring having a spring constant k' such that the equilibrium length xe does not change. What is the ratio of k' to k?</t>
  </si>
  <si>
    <t>1/2</t>
  </si>
  <si>
    <t>If the spring in Experiment 1 was suspended from the ceiling of an elevator accelerating with acceleration a, how would the equilibrium length of the spring compare to the equilibrium length of the spring when the elevator is stationary?</t>
  </si>
  <si>
    <t>The equilibrium length of the spring would be greater when the elevator is accelerating upward.</t>
  </si>
  <si>
    <t>The equilibrium length of the spring would be greater when the elevator is stationary.</t>
  </si>
  <si>
    <t>The equilibrium length of the spring would be greater when the elevator is accelerating downward with acceleration smaller than the acceleration due to gravity.</t>
  </si>
  <si>
    <t>The equilibrium length of the spring doesn't depend on the acceleration of the elevator.</t>
  </si>
  <si>
    <t>The simple harmonic motion of a mass suspended from vertical springs is investigated in two experiments. The springs used in both experiments have a spring constant k and a natural length L0. The material used to make the springs has a Young's modulus of 2 x 1011 Pa.</t>
  </si>
  <si>
    <t>A particle of mass m moves in a circle of radius r at a uniform speed and makes 1 revolution per second. What is the energy of the particle?</t>
  </si>
  <si>
    <t>Four charges of equal magnitude but different sign are arranged in the four corners of a square, as shown below. What is the direction of the electric field in the center of the square?</t>
  </si>
  <si>
    <t>A</t>
  </si>
  <si>
    <t>B</t>
  </si>
  <si>
    <t>C</t>
  </si>
  <si>
    <t>D</t>
  </si>
  <si>
    <t>If the noise level is increased by 30 decibels, what is the ratio of the new intensity to the original intensity?</t>
  </si>
  <si>
    <t>100</t>
  </si>
  <si>
    <t>1000</t>
  </si>
  <si>
    <t>A fireman of mass m slides down a vertical pole with an average acceleration a. If the acceleration due to gravity is g, what is the average frictional force exerted by the fireman?</t>
  </si>
  <si>
    <t>mg</t>
  </si>
  <si>
    <t>m(g + a)</t>
  </si>
  <si>
    <t>m(g – a)</t>
  </si>
  <si>
    <t>ma</t>
  </si>
  <si>
    <t>Which of the following is NOT an intermolecular force?</t>
  </si>
  <si>
    <t>Dispersion forces</t>
  </si>
  <si>
    <t>Resonance</t>
  </si>
  <si>
    <t>Hydrogen bonding</t>
  </si>
  <si>
    <t>Dipole interactions</t>
  </si>
  <si>
    <t>The author of this passage would most likely agree that:</t>
  </si>
  <si>
    <t>contemporary theories of realism ignore Auerbach's theories.</t>
  </si>
  <si>
    <t>determining a satisfactory and fixed definition of realism remains an illusory goal.</t>
  </si>
  <si>
    <t>words remain meaningful despite cultural and historical changes.</t>
  </si>
  <si>
    <t>any reader can correctly interpret realistic novels.</t>
  </si>
  <si>
    <t>The author's attitude towards Auerbach's study of mimesis can best be described as:</t>
  </si>
  <si>
    <t>appreciative of the scope of Auerbach's work but skeptical of its wide applicability due to an emphasis on the importance of historical context.</t>
  </si>
  <si>
    <t>laudatory of Auerbach's research and impressed that Auerbach's conclusions remain valid today.</t>
  </si>
  <si>
    <t>critical of Auerbach's premise that authors can construct systems of mimesis and wary that Auerbach's study is too limited.</t>
  </si>
  <si>
    <t>impressed with Auerbach's analyses of classic literature but doubtful that Auerbach's work has relevance to other literary genres.</t>
  </si>
  <si>
    <t>In order to classify a novel as "realistic," which of the following factors would be LEAST important?</t>
  </si>
  <si>
    <t>Familiarity with the attitudes and standards of the time periods of both the author and the reader.</t>
  </si>
  <si>
    <t>Analysis of the author's style and how it relates to the author's world view.</t>
  </si>
  <si>
    <t>Understanding of the author's intent at the time he wrote the novel.</t>
  </si>
  <si>
    <t>Establishment of a common semiotic system shared by both the author and the reader.</t>
  </si>
  <si>
    <t>The author mentions Julia Kristeva's semiotic theory and its relation to the novel in order to:</t>
  </si>
  <si>
    <t>disprove a previous theory of realism which has become obsolete.</t>
  </si>
  <si>
    <t>prove that mimesis can be reinforced by establishing a clear semiotic system.</t>
  </si>
  <si>
    <t>show how language is a semiotic system whose qualities affect the mimesis of a novel.</t>
  </si>
  <si>
    <t>argue that a text cannot be a closed system and must always be related to exterior influences.</t>
  </si>
  <si>
    <t>With which of the following statements about mimesis would the author most likely agree?</t>
  </si>
  <si>
    <t>Examination of the literary techniques used by an author is the only effective way to evaluate a novel's mimetic system.</t>
  </si>
  <si>
    <t>The classification of a novel as "realistic" is independent of its mimetic and semiotic systems and the coherence thereof.</t>
  </si>
  <si>
    <t>The mimetic system of a particular author can never accurately reflect the author's observations of his time period.</t>
  </si>
  <si>
    <t>A coherent system of mimesis, established by the author and recognized by the reader, reinforces the realism of a novel.</t>
  </si>
  <si>
    <t>The notion of realism in literature is based largely on the implicit belief that writers can accurately transform common objects or ideas from life into words on a page while maintaining an accurate representation of the object or idea. If an author writes a novel which seems believable, meaning that a reader can imagine events in the novel actually happening, then that book is often considered a "realistic" work of literature. The problem with this term is that "realism" does not maintain a stable definition across geographic and temporal boundaries. So how can we use an ambiguous term to categorize certain works of literature? If the meaning of "realism" continues to change, is it possible to agree on a general working definition of the term?</t>
  </si>
  <si>
    <t>According to the passage, a major factor responsible for the rise of third parties in the U.S. is the:</t>
  </si>
  <si>
    <t>domination of major parties by powerful economic interests.</t>
  </si>
  <si>
    <t>ability of third parties to transcend regional interests.</t>
  </si>
  <si>
    <t>ready acceptance by mainstream voters of issues with strong minority support.</t>
  </si>
  <si>
    <t>slowness of major parties to respond to new issues.</t>
  </si>
  <si>
    <t>The author cites all of the following as contributing to the weakness of third parties EXCEPT:</t>
  </si>
  <si>
    <t>their tendency to avoid sharply defined political programs.</t>
  </si>
  <si>
    <t>an electoral system that denies them proportional representation.</t>
  </si>
  <si>
    <t>their tendency to adopt programs that fail to attract mainstream voter support.</t>
  </si>
  <si>
    <t>the ability of major parties to undercut their appeal.</t>
  </si>
  <si>
    <t>It can be inferred that which of the following have contributed to the "non-doctrinal character of U.S. politics" (paragraph 4)?</t>
  </si>
  <si>
    <t>It can be inferred from the passage that the probable attitudes of many voters in the general population to the ideas initially put forth by a third party could best be described as:</t>
  </si>
  <si>
    <t>shocked and disbelieving.</t>
  </si>
  <si>
    <t>confused and indecisive.</t>
  </si>
  <si>
    <t>curious and open-minded.</t>
  </si>
  <si>
    <t>suspicious and disapproving.</t>
  </si>
  <si>
    <t>It can be inferred that the Republican Party was successful in establishing itself as a major party because:</t>
  </si>
  <si>
    <t>its political program became essentially non-doctrinal in character.</t>
  </si>
  <si>
    <t>the Whigs were unsuccessful in their attempts to steal from the Republican platform.</t>
  </si>
  <si>
    <t>it was able to abandon its traditional opposition to slavery without alienating its regular supporters.</t>
  </si>
  <si>
    <t>a more established party was simultaneously in decline.</t>
  </si>
  <si>
    <t>The author's description of the U.S. electoral system suggests that it:</t>
  </si>
  <si>
    <t>allows less flexibility than more centralized systems.</t>
  </si>
  <si>
    <t>makes the Federal government less important politically than state and local governments.</t>
  </si>
  <si>
    <t>frequently polarizes the electorate around divisive social and economic issues.</t>
  </si>
  <si>
    <t>fails to represent voters who would be represented in some other electoral systems.</t>
  </si>
  <si>
    <t>Although there have been many third-party movements in U.S. history, no third-party candidate has ever been elected president. And except for the Republican Party, which gained prominence when the Whigs were declining in the 1850's, no third party has ever achieved national major-party status.</t>
  </si>
  <si>
    <t>The author poses three questions in the first paragraph. What is the relative importance of these questions to the discussion in the remainder of the passage?</t>
  </si>
  <si>
    <t>All three questions are given equal attention.</t>
  </si>
  <si>
    <t>The first question is given most attention.</t>
  </si>
  <si>
    <t>The second question is given most attention.</t>
  </si>
  <si>
    <t>The third question is given most attention.</t>
  </si>
  <si>
    <t>According to the passage, the 1967 transplant was similar to the 1964 transplant in that it:</t>
  </si>
  <si>
    <t>was followed by initial criticism by the medical community.</t>
  </si>
  <si>
    <t>was followed by successful, analogous laboratory experiments.</t>
  </si>
  <si>
    <t>was preceded by successful, analogous laboratory experiments.</t>
  </si>
  <si>
    <t>was followed by sustained criticism by the medical community.</t>
  </si>
  <si>
    <t>It can be inferred from the passage that the author would most probably agree with which of the following statements with respect to the 1964 xenotransplantation?</t>
  </si>
  <si>
    <t>It was a legitimate experiment, but not a legitimate treatment.</t>
  </si>
  <si>
    <t>It was neither a legitimate experiment nor a legitimate treatment.</t>
  </si>
  <si>
    <t>It was not a legitimate experiment, but was a legitimate treatment</t>
  </si>
  <si>
    <t>It was a legitimate experiment and a legitimate treatment.</t>
  </si>
  <si>
    <t>It can be inferred from the passage that a reason for the change in prevailing opinion about clinical cardiac transplantation between 1967 and the present was:</t>
  </si>
  <si>
    <t>increased availability of donor organs.</t>
  </si>
  <si>
    <t>improved length of survival after the procedure.</t>
  </si>
  <si>
    <t>the number of procedures that have been performed.</t>
  </si>
  <si>
    <t>improvements in immunosuppressive medications.</t>
  </si>
  <si>
    <t>According to the way the term is used in the passage, xenotransplantation means a procedure in which:</t>
  </si>
  <si>
    <t>an organ from a non-human donor is placed into a human being.</t>
  </si>
  <si>
    <t>an organ from one human being is placed into another human being.</t>
  </si>
  <si>
    <t>an organ from a donor of one species is placed into a recipient of another species.</t>
  </si>
  <si>
    <t>an organ from a donor of one species is placed into a recipient of the same species.</t>
  </si>
  <si>
    <t>As the terms are used in the passage, an experimental laboratory transplantation differs from an experimental clinical transplantation in that the clinical procedure:</t>
  </si>
  <si>
    <t>As Fox and Swazey have suggested, assessment of the appropriateness of an experimental clinical therapy requires that three questions be addressed: What level of success in analogous laboratory experiments is sufficient to warrant a clinical experiment? Under what conditions should the initial clinical experiment proceed? What level of success under the initial conditions warrants expansion of the scope of clinical evaluation?</t>
  </si>
  <si>
    <t>The method of argument in the passage is best described as:</t>
  </si>
  <si>
    <t>presentation of facts, description of standard historical practices, interpretation of one practice, support for that interpretation</t>
  </si>
  <si>
    <t>establishment of context, definition of an historical practice, criticism of that practice, justification of that practice</t>
  </si>
  <si>
    <t>summary of historical information, introduction of modern criticism, objections to an historical practice, criticism of those objections</t>
  </si>
  <si>
    <t>contextualization of an historical practice, explanation of the practice, criticism of the practice's impact on women, support for the criticism</t>
  </si>
  <si>
    <t>Based on the information presented in the passage, it can be inferred that:</t>
  </si>
  <si>
    <t>women in Restoration England benefited from being able to act on the public stage.</t>
  </si>
  <si>
    <t>most Restoration actresses depended more on their physical attractiveness than on their acting talent to attract gentlemen in the audience.</t>
  </si>
  <si>
    <t>contemporary playwrights never put women in compromising or objectifying roles.</t>
  </si>
  <si>
    <t>the breeches role represented one of the first examples of feminist rebellion against the patriarchal world of 18th century theatre.</t>
  </si>
  <si>
    <t>According to the passage, the decision to ban women from performing on the public stage was based on the assumption that:</t>
  </si>
  <si>
    <t>women were not talented performers and were incapable of training properly for the stage.</t>
  </si>
  <si>
    <t>18th century theatre goers preferred to see men play female roles.</t>
  </si>
  <si>
    <t>male actors did not have a provocative effect on the audience or fellow cast members.</t>
  </si>
  <si>
    <t>the young men who played female roles convinced the authorities that they would lose their jobs if women were permitted to act in public.</t>
  </si>
  <si>
    <t>The passage mentions all of the following to support the claim that Restoration actresses did not object to playing the breeches roles EXCEPT:</t>
  </si>
  <si>
    <t>the lack of viable alternative career options.</t>
  </si>
  <si>
    <t>the high salaries earned by theatrical performers.</t>
  </si>
  <si>
    <t>the presence of breeches roles in plays written by women.</t>
  </si>
  <si>
    <t>the ability to manipulate the reactions of male audience members.</t>
  </si>
  <si>
    <t>Based on the arguments in the passage, the author would most likely agree that:</t>
  </si>
  <si>
    <t>different theoretical approaches can be applied to Restoration theatrical practices to produce identical interpretations.</t>
  </si>
  <si>
    <t>contemporary criticism of Restoration theatrical practices is invalid.</t>
  </si>
  <si>
    <t>restoration theatrical practices should only be interpreted in their proper historical context.</t>
  </si>
  <si>
    <t>socio-historical context must be considered by modern critics to avoid misinterpretation of Restoration theatrical practices.</t>
  </si>
  <si>
    <t>It can be inferred from the passage that which of the following had the LEAST impact on the reaction of 18th century audiences to the presence of actresses on the public stage:</t>
  </si>
  <si>
    <t>the quality of the production in which an actress appeared.</t>
  </si>
  <si>
    <t>the association of certain actresses with important society gentlemen.</t>
  </si>
  <si>
    <t>appreciation of an actress's talent, wit, and beauty.</t>
  </si>
  <si>
    <t>enjoyment of new comic situations created by the breeches role.</t>
  </si>
  <si>
    <t>One of the hallmarks of English Restoration theatre was the appearance of actresses on the professional public stage. Prior to the reign of Charles II, all female roles were played by boys or young men, and women were forbidden to act in public for fear that their presence in the theatre would incite illicit behavior in the audience and corrupt their fellow actors. Once women began acting in public, the audience responded very positively, especially when women appeared in a so-called "breeches roles," the frequency of which was unique to this time period. Between 1660 and 1700, about a quarter of all plays enacted included one or more such roles. These were usually female characters who were forced by circumstance to pretend to be men, but women also sometimes played male characters.</t>
  </si>
  <si>
    <t>According to the passage, the "Mozart Effect" is:</t>
  </si>
  <si>
    <t>an improvement in intelligence scores after listening to Mozart's music.</t>
  </si>
  <si>
    <t>a meteorological phenomenon.</t>
  </si>
  <si>
    <t>a type of intelligence.</t>
  </si>
  <si>
    <t>the amount of intelligence explained by heredity.</t>
  </si>
  <si>
    <t>According to the author, most psychologists would agree with which of the following statements about intelligence?</t>
  </si>
  <si>
    <t>Intelligence is best measured by a single number.</t>
  </si>
  <si>
    <t>Intelligence can be improved by listening to music.</t>
  </si>
  <si>
    <t>The concept of intelligence is useless and should be dropped.</t>
  </si>
  <si>
    <t>What we call intelligence is probably composed of multiple abilities.</t>
  </si>
  <si>
    <t>Based on the information in the passage, the author does not consider the occurrence of IQ improvement after listening to Mozart's music significant because:</t>
  </si>
  <si>
    <t>the writer prefers another classical composer.</t>
  </si>
  <si>
    <t>although it is a huge improvement, it only lasts a short time.</t>
  </si>
  <si>
    <t>it is a small, short-term improvement.</t>
  </si>
  <si>
    <t>although it is a long-term improvement, it is small.</t>
  </si>
  <si>
    <t>Although many people believed that listening to Mozart improved one's general intelligence, on what skills did people actually show an improvement?</t>
  </si>
  <si>
    <t>remembering dates in history</t>
  </si>
  <si>
    <t>verbal ability</t>
  </si>
  <si>
    <t>mathematical reasoning</t>
  </si>
  <si>
    <t>manipulating visual images</t>
  </si>
  <si>
    <t>According to the passage, the studies of twins were important in order to:</t>
  </si>
  <si>
    <t>show the influence of heredity.</t>
  </si>
  <si>
    <t>show that twins are more susceptible to the Mozart effect.</t>
  </si>
  <si>
    <t>show that there are many kinds of intelligence.</t>
  </si>
  <si>
    <t>emphasize that one should learn to play an instrument.</t>
  </si>
  <si>
    <t>In 1993, Frances Rauscher and colleagues published a letter in the journal Nature showing that listening to Mozart's sonata for two pianos in D major produced a small, short-term improvement on college student's spatial skills. These skills typically include the ability to correctly construct objects, to navigate, and to manipulate visual images. From this humble beginning, others have sought to sell parents sets of Mozart CDs by promising to improve their children's IQs and nearly every other quality parents find desirable. Since most parents want to raise bright, healthy children, they tend to be prey for those hawking products that seem to offer some scientific way to improve their children's intelligence. Based on this research, the state of Georgia provides Mozart CDs for all newborns in the state. We need to ask whether Georgia's actions are justified, and whether parents should play Mozart in the house and insist their care givers play Mozart as well.</t>
  </si>
  <si>
    <t>chronicle the history of the Medicare program.</t>
  </si>
  <si>
    <t>contrast the Medicare program with private health insurance plans.</t>
  </si>
  <si>
    <t>criticize the lackluster results of a Medicare reform proposal.</t>
  </si>
  <si>
    <t>criticize Medicare for implementing an outpatient prescription drug benefit.</t>
  </si>
  <si>
    <t>According to the passage, the M+C plan adopted in 1997 accomplished all the following EXCEPT:</t>
  </si>
  <si>
    <t>increasing choices available to some seniors.</t>
  </si>
  <si>
    <t>providing outpatient prescription coverage to most seniors who chose participating plans.</t>
  </si>
  <si>
    <t>encouraging sufficient private insurer plans to participate in the program.</t>
  </si>
  <si>
    <t>increasing the percentage of seniors in participating plans who received OPD benefits.</t>
  </si>
  <si>
    <t>Based on the information in the passage, it is reasonable to conclude that the proposal to offer government subsidies to encourage private insurers to provide OPD benefits to seniors:</t>
  </si>
  <si>
    <t>will not be adopted.</t>
  </si>
  <si>
    <t>will be adopted.</t>
  </si>
  <si>
    <t>if adopted will not succeed.</t>
  </si>
  <si>
    <t>if adopted will have limited success.</t>
  </si>
  <si>
    <t>The author implies that the existing consensus that OPD benefits are needed may not result in actual change in OPD benefits available because:</t>
  </si>
  <si>
    <t>there is a lack of agreement on the means by which this end may be achieved.</t>
  </si>
  <si>
    <t>the means employed to achieve this end may not be effective.</t>
  </si>
  <si>
    <t>proponents of subsidies are not sincere in their support of OPD benefit.</t>
  </si>
  <si>
    <t>Medicare has a strong tradition of emphasizing inpatient hospital care.</t>
  </si>
  <si>
    <t>Suppose the author inserted, as the second sentence of the fourth paragraph: "When only persons who think they will incur high drug costs select an alternative program, adverse selection drives up the per capita cost of coverage." This statement would reinforce the author's argument by demonstrating an additional reason why:</t>
  </si>
  <si>
    <t>private insurers are likely to find administrative requirements burdensome.</t>
  </si>
  <si>
    <t>Medicare reimbursement rates will be inadequate to assure plan participation.</t>
  </si>
  <si>
    <t>sufficient Medicare beneficiaries will not choose alternative plans.</t>
  </si>
  <si>
    <t>adding the benefit to the traditional, FFS Medicare program would be a better choice.</t>
  </si>
  <si>
    <t>Specific assertions or evidence in the passage support all of the following statements about the FFS Medicare program and private insurance EXCEPT that both:</t>
  </si>
  <si>
    <t>previously emphasized inpatient hospital care.</t>
  </si>
  <si>
    <t>have made changes that have increased plan efficiency.</t>
  </si>
  <si>
    <t>experience problems with cost control.</t>
  </si>
  <si>
    <t>have undergone change since the mid-1960s.</t>
  </si>
  <si>
    <t>Assume it is proposed that Medicare provide an OPD benefit to be administered through a contract with a private pharmacy benefit manager (PBM). Under this proposal, the PBM would negotiate with drug manufacturers for discounts or rebates, using a list of preferred drugs to encourage manufacturers to compete to be the product provider. The PBM would also try to influence beneficiary or physician choice by offering lower co-payments or other incentives for preferred drugs. The author's reaction to this proposal would most likely be to:</t>
  </si>
  <si>
    <t>point out the need to identify a source of funds adequate to pay for the cost of the benefit and a means of ensuring that these funds will be increased when the cost of the benefit rises.</t>
  </si>
  <si>
    <t>assert that the government could itself administer the program, performing the functions that it is proposed that the PBM perform, but without incurring the cost of the PBM's profit margin.</t>
  </si>
  <si>
    <t>point out that the proposal is fundamentally incompatible with the Medicare FFS program's orientation to provide coverage for inpatient hospital care.</t>
  </si>
  <si>
    <t>support the proposal on the basis that it would be consistent with the current emphasis in medical care on prescription drugs as a method of treatment.</t>
  </si>
  <si>
    <t>The Medicare program, created by legislation enacted in 1965, provided health benefits to Americans over the age of 65 (seniors) and, in time, extended benefits to Americans with disabilities. A fee-for-service plan (FFS), modeled after the existing Blue Cross and Blue Shield plans then prevalent in the private market, the new program's benefit package strongly emphasized inpatient hospital care. While medical care and private insurance have undergone many changes since 1965, including greater emphasis on prescription drugs as a method of treatment and less emphasis on inpatient hospital care, the Medicare program has not kept pace, and still provides no outpatient prescription drug (OPD) benefit.</t>
  </si>
  <si>
    <t>Which of the following characteristics is most helpful in differentiating booming sand from squeaking sand?</t>
  </si>
  <si>
    <t>duration of the sound</t>
  </si>
  <si>
    <t>frequency of the sound</t>
  </si>
  <si>
    <t>size of the sand grains</t>
  </si>
  <si>
    <t>smoothness of the sand grains</t>
  </si>
  <si>
    <t>Booming occurs mostly in big dunes deep in the desert. All of the following, if true, are factors that may plausibly account for this EXCEPT:</t>
  </si>
  <si>
    <t>The grains need to be carried over large distances by wind so they have a chance to be polished down.</t>
  </si>
  <si>
    <t>The sounds created by the booming dunes need a large distance to dissipate.</t>
  </si>
  <si>
    <t>A relatively large sand source is needed so dunes can build up to the requisite volume before an avalanche occurs.</t>
  </si>
  <si>
    <t>The dunes need to be far removed from any source of moisture.</t>
  </si>
  <si>
    <t>According to information presented in the passage, which of the following is true of all booming dunes?</t>
  </si>
  <si>
    <t>The dune needs to build up to a certain critical angle.</t>
  </si>
  <si>
    <t>The dune is composed of sand grains of similar size.</t>
  </si>
  <si>
    <t>The dune is composed of exceptionally rough sand grains.</t>
  </si>
  <si>
    <t>The dune needs to be dried for a while by winds to have moisture removed.</t>
  </si>
  <si>
    <t>A dune is found to be comprised of smooth grains and produces sounds that last less than a second. What further information, if any, would enable one to unambiguously characterize the sand as squeaking sand?</t>
  </si>
  <si>
    <t>The grains are not uniform in size.</t>
  </si>
  <si>
    <t>The sound is generated by walking upon it rather than through avalanches.</t>
  </si>
  <si>
    <t>The information given is already sufficient to conclude that the sand is squeaking sand.</t>
  </si>
  <si>
    <t>The sand cannot possibly be squeaking sand from the information given.</t>
  </si>
  <si>
    <t>Which of the following discoveries would give the most support to the hypothesis that squeaking sand and booming sand differ only in the mechanism by which the sounds are produced?</t>
  </si>
  <si>
    <t>Avalanches can be induced in squeaking sand.</t>
  </si>
  <si>
    <t>Squeaking sand can be made to generate booming sounds.</t>
  </si>
  <si>
    <t>Booming sounds made by dunes can be generated by mechanisms other than avalanches.</t>
  </si>
  <si>
    <t>Smooth grains are not a requirement for booming sand.</t>
  </si>
  <si>
    <t>...Squeaking sand produces sounds with very high frequencies—between 500 and 2,500 hertz, lasting less than a quarter of a second. The peals are musically pure, often containing four or five harmonic overtones. Booming sand makes louder, low-frequency sounds of 50 to 300 hertz, which may last as long as 15 minutes in larger dunes (although typically they last for seconds or less). In addition, they are rather noisy, containing a multitude of nearby frequencies. Booms have never been observed to contain more than one harmonic of the fundamental tone.</t>
  </si>
  <si>
    <t>The llama is a warm-blooded mammal that lives in regions of unusually high altitudes, and has evolved a type of Hb that adapts it to such an existence. If Curve B represents the O2-dissociation curve for horse Hb, which curve would most closely resemble the curve for llama Hb?</t>
  </si>
  <si>
    <t>Curve A</t>
  </si>
  <si>
    <t>Curve B</t>
  </si>
  <si>
    <t>Curve C</t>
  </si>
  <si>
    <t>Curve D</t>
  </si>
  <si>
    <t>If Curve B represents the O2-dissociation curve for elephant Hb, which curve most closely resembles the curve for mouse Hb?</t>
  </si>
  <si>
    <t>If Curve B represents the O2-dissociation curve for human adult Hb, which of the following best explains why Curve A most closely resembles the curve for fetal Hb?</t>
  </si>
  <si>
    <t>Fetal tissue has a higher metabolic rate than adult tissue.</t>
  </si>
  <si>
    <t>Fetal tissue has a lower metabolic rate than adult tissue.</t>
  </si>
  <si>
    <t>Fetal Hb has a higher affinity for O2 than adult Hb.</t>
  </si>
  <si>
    <t>Fetal Hb has a lower affinity for O2 than adult Hb.</t>
  </si>
  <si>
    <t>A sample of human adult Hb is placed in an 8 M urea solution, resulting in the disruption of noncovalent interactions. After this procedure, the α chains of Hb are isolated. Which of the four curves most closely resembles the O2-dissociation curve for the isolated α chains? [Note: Assume that Curve B represents the O2-dissociation curve for human adult Hb in vivo].</t>
  </si>
  <si>
    <t>The utilization coefficient is continually being adjusted in response to physiological changes. Which of the following values most likely represents the utilization coefficient for human adult Hb during strenuous exercise?</t>
  </si>
  <si>
    <t>0.0</t>
  </si>
  <si>
    <t>0.125</t>
  </si>
  <si>
    <t>0.25</t>
  </si>
  <si>
    <t>0.75</t>
  </si>
  <si>
    <t>Hemoglobin (Hb) and myoglobin (Mb) are the O2-carrying proteins in vertebrates. Hb, which is contained within red blood cells, serves as the O2 carrier in blood and also plays a vital role in the transport of CO2 and H+. Vertebrate Hb consists of four polypeptides (subunits) each with a heme group. The four chains are held together by noncovalent attractions. The affinity of Hb for O2 varies between species and within species depending on such factors as blood pH, stage of development, and body size. For example, small mammals give up O2 more readily than large mammals because small mammals have a higher metabolic rate and require more O2 per gram of tissue.</t>
  </si>
  <si>
    <t>An elevated and potentially toxic level of ammonia in the blood (hyperammonemia) would most likely result from a defect in an enzyme involved in:</t>
  </si>
  <si>
    <t>glycolysis.</t>
  </si>
  <si>
    <t>fatty acid catabolism.</t>
  </si>
  <si>
    <t>the urea cycle.</t>
  </si>
  <si>
    <t>nucleic acid degradation.</t>
  </si>
  <si>
    <t>According to the passage, the catabolism of amino acids produces ammonia. Therefore, after a protein-rich meal, would you expect a build-up of ammonia in the lumen of the small intestine?</t>
  </si>
  <si>
    <t>Yes, because the ammonia will not be able to diffuse into the intestinal epithelium.</t>
  </si>
  <si>
    <t>Yes, because the rate at which digestive enzymes degrade ammonia is slower than the rate at which ammonia is produced.</t>
  </si>
  <si>
    <t>No, because the ammonia will diffuse into the intestinal epithelium and will be excreted by the kidneys.</t>
  </si>
  <si>
    <t>No, because the ammonia is produced inside individual cells, not within the lumen of the small intestine.</t>
  </si>
  <si>
    <t>Which of the following substances would NOT be found in appreciable quantity in the urine of a healthy individual?</t>
  </si>
  <si>
    <t>Albumin</t>
  </si>
  <si>
    <t>Sodium</t>
  </si>
  <si>
    <t>Urea</t>
  </si>
  <si>
    <t>Potassium</t>
  </si>
  <si>
    <t>Which of the following would you most likely expect to find in a patient with diabetes insipidus?</t>
  </si>
  <si>
    <t>Decreased plasma osmolarity</t>
  </si>
  <si>
    <t>Increased urine osmolarity</t>
  </si>
  <si>
    <t>Increased urine glucose</t>
  </si>
  <si>
    <t>Increased urine output</t>
  </si>
  <si>
    <t>Based on the data in Table 1, which of the four patients most likely has central diabetes insipidus?</t>
  </si>
  <si>
    <t>Patient A</t>
  </si>
  <si>
    <t>Patient B</t>
  </si>
  <si>
    <t>Patient C</t>
  </si>
  <si>
    <t>Patient D</t>
  </si>
  <si>
    <t>What is the most likely cause of Patient B's dilute urine before therapy?</t>
  </si>
  <si>
    <t>Excessive water intake</t>
  </si>
  <si>
    <t>Dehydration</t>
  </si>
  <si>
    <t>Nephrogenic DI</t>
  </si>
  <si>
    <t>Central DI</t>
  </si>
  <si>
    <t>Just as the ingestion of nutrients is mandatory for human life, so is the excretion of metabolic waste products. One of these nutrients, protein, is used for building muscle, nucleic acids, and countless compounds integral to homeostasis. However, the catabolism of the amino acids generated from protein digestion produces ammonia, which, if not further degraded, can become toxic. Similarly, if the same salts that provide energy and chemical balance to cells are in excess, fluid retention will occur, damaging the circulatory, cardiac, and pulmonary systems.</t>
  </si>
  <si>
    <t>When humans are submerged in water, the mammalian dive reflex acts to alter circulation. Heart rate decreases, blood flow to the extremities is reduced, and mean arterial blood pressure is increased. These accommodations lead to:</t>
  </si>
  <si>
    <t>an increase in total lung capacity.</t>
  </si>
  <si>
    <t>increased heat retention by the body.</t>
  </si>
  <si>
    <t>decreased partial pressure of oxygen in the blood.</t>
  </si>
  <si>
    <t>increased venous return.</t>
  </si>
  <si>
    <t>Which of the following animals most likely has the LEAST dense bones?</t>
  </si>
  <si>
    <t>Iguana</t>
  </si>
  <si>
    <t>Squirrel</t>
  </si>
  <si>
    <t>Whale</t>
  </si>
  <si>
    <t>Sparrow</t>
  </si>
  <si>
    <t>T lymphocyte-derived effector cells have all of the following roles EXCEPT:</t>
  </si>
  <si>
    <t>activation of B and T cells.</t>
  </si>
  <si>
    <t>destruction of infected cells.</t>
  </si>
  <si>
    <t>downregulate B and T cell activity against antigens.</t>
  </si>
  <si>
    <t>recognition of an antigen upon secondary exposure to it.</t>
  </si>
  <si>
    <t>A biochemist grows two cultures of yeast—one aerobically and the other anaerobically—and measures the amount of ATP produced by each culture. He finds that the aerobically-grown yeast produce about 18 times as much ATP as the anaerobically-grown yeast. These observations are consistent with the fact that in the aerobically grown yeast:</t>
  </si>
  <si>
    <t>oxygen is converted into ATP.</t>
  </si>
  <si>
    <t>oxygen is necessary to convert glucose into pyruvate.</t>
  </si>
  <si>
    <t>oxygen is the final electron acceptor of the respiratory chain.</t>
  </si>
  <si>
    <t>oxygen is necessary for the reduction of pyruvate into lactate.</t>
  </si>
  <si>
    <t>The electrons that give color to a carotene molecule are found in:</t>
  </si>
  <si>
    <t>s orbitals.</t>
  </si>
  <si>
    <t>orbitals.</t>
  </si>
  <si>
    <t>d orbitals.</t>
  </si>
  <si>
    <t>f orbitals.</t>
  </si>
  <si>
    <t>Two pigments are identical except for the lengths of their conjugated polyene chains. The first transmits yellow light and the second red. What can be said about the sizes of the chromophores?</t>
  </si>
  <si>
    <t>The first is longer.</t>
  </si>
  <si>
    <t>The second is longer.</t>
  </si>
  <si>
    <t>One of the chromophores must be a dimer.</t>
  </si>
  <si>
    <t>The comparative lengths cannot be determined.</t>
  </si>
  <si>
    <t>Why is benzene colorless?</t>
  </si>
  <si>
    <t>The absorption energy is of too high a frequency to be visible.</t>
  </si>
  <si>
    <t>The absorption energy is of too low a frequency to be visible.</t>
  </si>
  <si>
    <t>Benzene does not absorb light.</t>
  </si>
  <si>
    <t>Benzene is not conjugated.</t>
  </si>
  <si>
    <t>Many crustaceans produce a blue or green carotene-protein complex. What is the most likely cause of the color change from green to orange when a lobster is boiled?</t>
  </si>
  <si>
    <t>Heat causes the prosthetic group to become partially hydrated.</t>
  </si>
  <si>
    <t>The increase in temperature permits the prosthetic group to absorb shorter wavelengths.</t>
  </si>
  <si>
    <t>The protein is separated from the carotenoid pigment.</t>
  </si>
  <si>
    <t>Heat causes the prosthetic group to become oxidized.</t>
  </si>
  <si>
    <t>The four compounds represented by the electronic spectra below were evaluated as potential sunscreens. What is the correct sequence of sunscreen strength, from strongest to weakest, among these four?</t>
  </si>
  <si>
    <t>I, II, III, IV</t>
  </si>
  <si>
    <t>IV, III, II, I</t>
  </si>
  <si>
    <t>III, II, I, IV</t>
  </si>
  <si>
    <t>IV,I,II, III</t>
  </si>
  <si>
    <t>Which of the following compounds would be most likely to produce color?</t>
  </si>
  <si>
    <t>The color-producing quality of conjugated polyenes is attributable to:</t>
  </si>
  <si>
    <t>antibonding orbitals.</t>
  </si>
  <si>
    <t>resonance.</t>
  </si>
  <si>
    <t>polarity.</t>
  </si>
  <si>
    <t>optical activity.</t>
  </si>
  <si>
    <t>Electromagnetic radiation from space constantly bombards the earth. Most wavelengths are absorbed by the atmosphere; however, there are two "windows" of nonabsorption through which significant amounts of radiation reach the ground. The first transmits ultraviolet and visible light, as well as infrared light or heat; the second transmits radio waves. As a result, terrestrial organisms have evolved a number of pigments that interact with light in various ways: some capture light energy, some provide protection from light-induced damage, and some serve camouflage or signaling purposes.</t>
  </si>
  <si>
    <t>In which of the following phases of the cell cycle could mitochondrial DNA replicate?</t>
  </si>
  <si>
    <t>IV only</t>
  </si>
  <si>
    <t>Scientists have demonstrated that human mitochondrial DNA mutates at a fairly slow rate. Because mitochondria play such an important role in the cell, these mutations are most likely to be:</t>
  </si>
  <si>
    <t>point mutations.</t>
  </si>
  <si>
    <t>frameshift mutations.</t>
  </si>
  <si>
    <t>lethal mutations.</t>
  </si>
  <si>
    <t>nondisjunctions.</t>
  </si>
  <si>
    <t>Which of the following mitochondrial genome characteristics differs most from the characteristics of the nuclear genome?</t>
  </si>
  <si>
    <t>Mitochondrial DNA is a double-helix.</t>
  </si>
  <si>
    <t>Some mitochondrial genes code for tRNA.</t>
  </si>
  <si>
    <t>Specific mutations to mitochondrial DNA can be lethal to the organism.</t>
  </si>
  <si>
    <t>Almost every base in mitochondrial DNA codes for a product.</t>
  </si>
  <si>
    <t>What is the net number of ATP molecules synthesized by an obligate anaerobe per molecule of glucose?</t>
  </si>
  <si>
    <t>2 ATP</t>
  </si>
  <si>
    <t>6 ATP</t>
  </si>
  <si>
    <t>8 ATP</t>
  </si>
  <si>
    <t>36 ATP</t>
  </si>
  <si>
    <t>A mating type of a wild-type strain of the algae C. reinhardii is crossed with the opposite mating type of a mutant strain of the algae, which has lost all mitochondrial functions due to deletions in their mitochondrial genome. All of the offspring from this cross also lack mitochondrial functions. Based on information in the passage, this can best be explained by the:</t>
  </si>
  <si>
    <t>endosymbiotic hypothesis.</t>
  </si>
  <si>
    <t>non-Mendelian inheritance of mitochondrial DNA.</t>
  </si>
  <si>
    <t>recombination of mitochondrial DNA during organelle replication.</t>
  </si>
  <si>
    <t>presence of genetic material in the mitochondria that is distinct from nuclear DNA.</t>
  </si>
  <si>
    <t>Four different human cell cultures—erythrocytes, epidermal cells, skeletal muscle cells, and intestinal cells—were grown in a medium containing radioactive adenine. After 10 days, the mitochondria were isolated via centrifugation, and their level of radioactivity was measured using a liquid scintillation counter. Which of the following cells would be expected to have the greatest number of counts per minute of radioactive decay?</t>
  </si>
  <si>
    <t>Erythrocytes</t>
  </si>
  <si>
    <t>Epidermal cells</t>
  </si>
  <si>
    <t>Skeletal muscle cells</t>
  </si>
  <si>
    <t>Intestinal cells</t>
  </si>
  <si>
    <t>Which of the following pieces of evidence would NOT support the hypothesis that mitochondria were once independent bacteria that eventually formed a symbiotic relationship with eukaryotic cells?</t>
  </si>
  <si>
    <t>Mitochondrial DNA is circular and not enclosed by a nuclear membrane.</t>
  </si>
  <si>
    <t>Mitochondrial ribosomes more closely resemble eukaryotic ribosomes than prokaryotic ribosomes.</t>
  </si>
  <si>
    <t>Many present-day bacteria live within eukaryotic cells, digesting nutrients that their hosts cannot and sharing the energy thus derived.</t>
  </si>
  <si>
    <t>Mitochondrial DNA codes for its own ribosomal RNA.</t>
  </si>
  <si>
    <t>Aerobic respiration is the major process used by oxygen-requiring organisms to generate energy. During respiration, glucose is metabolized to generate chemical energy in the form of ATP:</t>
  </si>
  <si>
    <t>Which of the following compounds share the same absolute configuration?</t>
  </si>
  <si>
    <t>I and III</t>
  </si>
  <si>
    <t>II and IV</t>
  </si>
  <si>
    <t>I and II</t>
  </si>
  <si>
    <t>II, III, and IV</t>
  </si>
  <si>
    <t>The reaction R—Br + Br*–→ R—Br* + Br– is always accompanied by inversion. If this reaction is carried out on an optically pure sample of a chiral compound, which of the following statements will be true? [Note: Br* represents a radioactive isotope of bromine.]</t>
  </si>
  <si>
    <t>The rate of Br* incorporation is half the rate of racemization.</t>
  </si>
  <si>
    <t>The rate of Br* incorporation is equal to the rate of racemization.</t>
  </si>
  <si>
    <t>The rate of Br* incorporation is twice the rate of racemization.</t>
  </si>
  <si>
    <t>The relation between the rate of Br* incorporation and the rate of racemization cannot be determined.</t>
  </si>
  <si>
    <t>Which of the following cell types does NOT contain the diploid number of chromosomes?</t>
  </si>
  <si>
    <t>Spermatogonium</t>
  </si>
  <si>
    <t>Spermatid</t>
  </si>
  <si>
    <t>Zygote</t>
  </si>
  <si>
    <t>Primary oocyte</t>
  </si>
  <si>
    <t>A certain chemical is found to inhibit the synthesis of all steroids. The synthesis of which of the following hormones would NOT be affected when a dose of this chemical is administered to a laboratory rat?</t>
  </si>
  <si>
    <t>Cortisol</t>
  </si>
  <si>
    <t>Aldosterone</t>
  </si>
  <si>
    <t>Epinephrine</t>
  </si>
  <si>
    <t>Testosterone</t>
  </si>
  <si>
    <t>Assuming that only the forward reaction occurs, which of the following statements is correct?</t>
  </si>
  <si>
    <t>The ester will contain labeled oxygen, while the water fraction will not.</t>
  </si>
  <si>
    <t>The water fraction will contain labeled oxygen, while the ester will not.</t>
  </si>
  <si>
    <t>Both the water fraction and the ester will contain labeled oxygen.</t>
  </si>
  <si>
    <t>The location of the labeled oxygen cannot be determined.</t>
  </si>
  <si>
    <t>The rate of the reaction is negligible without the acid catalyst. The catalyst:</t>
  </si>
  <si>
    <t>attacks the carbonyl oxygen, permitting the nucleophilic group to attack the carbonyl carbon.</t>
  </si>
  <si>
    <t>attacks the carbonyl carbon, permitting the nucleophilic group to attack the carbonyl oxygen.</t>
  </si>
  <si>
    <t>attacks the carbonyl oxygen, permitting the electrophilic group to attack the carbonyl carbon.</t>
  </si>
  <si>
    <t>attacks the carbonyl carbon, permitting the electrophilic group to attack the carbonyl oxygen.</t>
  </si>
  <si>
    <t>Which of the following carboxylic acids will be most acidic?</t>
  </si>
  <si>
    <t>CH3CH2COOH</t>
  </si>
  <si>
    <t>ClCH2CH2COOH</t>
  </si>
  <si>
    <t>ClCH2CH2CH2COOH</t>
  </si>
  <si>
    <t>Cl2CHCH2COOH</t>
  </si>
  <si>
    <t>Another method for forming esters is:</t>
  </si>
  <si>
    <t>The halide is a poor leaving group.</t>
  </si>
  <si>
    <t>The halide acts as a good nucleophile.</t>
  </si>
  <si>
    <t>The halide is an electron-donating group.</t>
  </si>
  <si>
    <t>The carboxylate anion is highly nucleophilic.</t>
  </si>
  <si>
    <t>Which of the following alkyl halides would be most likely to react with sodium butanoate (CH3CH2CH2COO–Na+) to form an ester?</t>
  </si>
  <si>
    <t>CH3CH2CH2Cl</t>
  </si>
  <si>
    <t>CH3Cl</t>
  </si>
  <si>
    <t>(CH3)2CHCl</t>
  </si>
  <si>
    <t>CH3CH2Cl</t>
  </si>
  <si>
    <t>The mechanism for the acid-catalyzed esterification of a carboxylic acid, carried out with R'OH, is shown below. The tagged alcohol R'18OH is used to study the reaction mechanism. The resulting ester is separated from the reaction mixture; the water from the reaction mixture is then distilled off completely and collected as a separate fraction.</t>
  </si>
  <si>
    <t>In a paternity case, the mother has type A+ blood and her son has type O– blood. If the husband has type B+ blood, which of the following is true?</t>
  </si>
  <si>
    <t>The husband could be the father.</t>
  </si>
  <si>
    <t>The husband could not be the father.</t>
  </si>
  <si>
    <t>The husband could not be the father of an O– son, but could be the father of an O– daughter.</t>
  </si>
  <si>
    <t>The husband is definitely the father.</t>
  </si>
  <si>
    <t>How might one most practically assess the risk of erythroblastosis fetalis in a pregnant woman?</t>
  </si>
  <si>
    <t>Test all women for the presence of anti-Rh antibodies.</t>
  </si>
  <si>
    <t>Test all fetuses for the presence of the Rh antigen within the first trimester of pregnancy.</t>
  </si>
  <si>
    <t>Test only Rh– mothers for the presence of anti-Rh antibodies.</t>
  </si>
  <si>
    <t>Test all mothers of Rh+ children for the presence of anti-Rh antibodies.</t>
  </si>
  <si>
    <t>Based on information in the passage, what does the reaction below represent?</t>
  </si>
  <si>
    <t>Negative direct Coombs test</t>
  </si>
  <si>
    <t>Positive direct Coombs test</t>
  </si>
  <si>
    <t>Positive indirect Coombs test</t>
  </si>
  <si>
    <t>Negative indirect Coombs test</t>
  </si>
  <si>
    <t>A woman who has never been pregnant has type B– blood. Which of the following antibodies would you expect to find in her serum?</t>
  </si>
  <si>
    <t>Anti-B antibody</t>
  </si>
  <si>
    <t>Anti-A antibody</t>
  </si>
  <si>
    <t>Anti-Rh antibody</t>
  </si>
  <si>
    <t>Both anti-A and anti-Rh antibodies</t>
  </si>
  <si>
    <t>A medical student suggested giving Rh– mothers of Rh+ fetuses a specific exogenous substance prior to delivery to prevent an immune response. Which of the following substances would likely be the safest and most effective?</t>
  </si>
  <si>
    <t>Rh antigen</t>
  </si>
  <si>
    <t>An immunosuppressive drug</t>
  </si>
  <si>
    <t>Iron pills</t>
  </si>
  <si>
    <t>Four major blood types exist in the human ABO blood system: types A, B, AB, and O; and there are three alleles that code for them. The A and B alleles are codominant, and the O allele is recessive. Blood types are derived from the presence of specific polysaccharide antigens that lie on the outer surface of the red blood cell membrane. The A allele codes for the production of the A antigen; the B allele codes for the production of the B antigen; the O allele does not code for any antigen.</t>
  </si>
  <si>
    <t>Based on the experimental results, what is the genotype of the male in Cross 6?</t>
  </si>
  <si>
    <t>bw</t>
  </si>
  <si>
    <t>bb</t>
  </si>
  <si>
    <t>bw or bb</t>
  </si>
  <si>
    <t>Bb or bw</t>
  </si>
  <si>
    <t>If a large number of brown offspring from Cross 8 are mated with each other, what is the expected percentage of white offspring?</t>
  </si>
  <si>
    <t>6.25%</t>
  </si>
  <si>
    <t>8.33%</t>
  </si>
  <si>
    <t>12.5%</t>
  </si>
  <si>
    <t>Based on the experimental results, what is the genotype of the female in Cross 5?</t>
  </si>
  <si>
    <t>Bb</t>
  </si>
  <si>
    <t>BB or Bb</t>
  </si>
  <si>
    <t>BB or Bw</t>
  </si>
  <si>
    <t>BB, Bb, or Bw</t>
  </si>
  <si>
    <t>A white male is crossed with the heterozygous red female from Cross 9. What is the expected ratio of red to white offspring?</t>
  </si>
  <si>
    <t>3:1</t>
  </si>
  <si>
    <t>1:3</t>
  </si>
  <si>
    <t>Although individual organisms have only two alleles for any given trait, it is possible for a trait to have more than two alleles coding for it. This phenomenon is known as multiple alleles. Multiple alleles are created when a single gene undergoes several distinct mutations. These alleles may have different dominance relationships with one another; for example, there are three alleles coding for the human blood groups, the IA , IB, and i alleles. Both the IA and IB alleles are dominant to the i allele, but IA and IB are codominant to each other.</t>
  </si>
  <si>
    <t>Which of the following compounds readily undergoes E1, SN1, and E2 reactions, but not SN2 reactions?</t>
  </si>
  <si>
    <t>(CH3)3COH</t>
  </si>
  <si>
    <t>CH3CH2CH3</t>
  </si>
  <si>
    <t>(CH3CH2)3CBr</t>
  </si>
  <si>
    <t>A certain drug inhibits ribosomal RNA synthesis. Which of the following eukaryotic organelles would be most affected by the administration of this drug?</t>
  </si>
  <si>
    <t>Exocrine secretions of the pancreas:</t>
  </si>
  <si>
    <t>raise blood glucose levels.</t>
  </si>
  <si>
    <t>lower blood glucose levels.</t>
  </si>
  <si>
    <t>regulate metabolic rate.</t>
  </si>
  <si>
    <t>aid in protein and fat digestion.</t>
  </si>
  <si>
    <t>Destroying the cerebellum of a cat would cause significant impairment of normal:</t>
  </si>
  <si>
    <t>urine formation.</t>
  </si>
  <si>
    <t>sense of smell.</t>
  </si>
  <si>
    <t>coordinated movement.</t>
  </si>
  <si>
    <t>thermoregulation.</t>
  </si>
  <si>
    <t>A cell with a high intracellular K+ concentration, whose plasma membrane is impermeable to K+, is placed in an ATP-rich medium with a low K+ concentration. After several minutes, it is determined that the extracellular concentration of both K+ and ATP have decreased, while the intracellular K+ concentration has increased. What is the most likely explanation for this phenomenon?</t>
  </si>
  <si>
    <t>The K+ passively diffused from the medium into the cell.</t>
  </si>
  <si>
    <t>The K+ entered the cell by way of facilitated transport.</t>
  </si>
  <si>
    <t>The ATP formed a temporary lipid-soluble complex with the K+ , thus enabling the potassium to enter the cell.</t>
  </si>
  <si>
    <t>The K+ entered the cell by way of active transport.</t>
  </si>
  <si>
    <t>AC/DC Circuits</t>
  </si>
  <si>
    <t>Bonding</t>
  </si>
  <si>
    <t>Work and Energy</t>
  </si>
  <si>
    <t>Sound</t>
  </si>
  <si>
    <t>Excretory System</t>
  </si>
  <si>
    <t>Digestive System</t>
  </si>
  <si>
    <t>Muscle and Skeletal Systems</t>
  </si>
  <si>
    <t>Hybridization and Bonding</t>
  </si>
  <si>
    <t>Carboxylic Acids and Their Derivatives</t>
  </si>
  <si>
    <t>Nervous System</t>
  </si>
  <si>
    <t>hds020255.02</t>
  </si>
  <si>
    <t>hds020255.03</t>
  </si>
  <si>
    <t>hds020255.04</t>
  </si>
  <si>
    <t>hds020255.05</t>
  </si>
  <si>
    <t>hds020256.01</t>
  </si>
  <si>
    <t>hds020256.02</t>
  </si>
  <si>
    <t>hds020256.03</t>
  </si>
  <si>
    <t>hds020256.04</t>
  </si>
  <si>
    <t>hds001564.01</t>
  </si>
  <si>
    <t>hds001564.02</t>
  </si>
  <si>
    <t>hds001564.03</t>
  </si>
  <si>
    <t>hds001564.04</t>
  </si>
  <si>
    <t>h020257.01</t>
  </si>
  <si>
    <t>h020257.02</t>
  </si>
  <si>
    <t>h020257.03</t>
  </si>
  <si>
    <t>h020257.04</t>
  </si>
  <si>
    <t>h020257.05</t>
  </si>
  <si>
    <t>h020257.06</t>
  </si>
  <si>
    <t>h020257.07</t>
  </si>
  <si>
    <t>hds020258.01</t>
  </si>
  <si>
    <t>hds020258.02</t>
  </si>
  <si>
    <t>hds020258.03</t>
  </si>
  <si>
    <t>hds020258.04</t>
  </si>
  <si>
    <t>hds020258.05</t>
  </si>
  <si>
    <t>hds002526.01</t>
  </si>
  <si>
    <t>hds002526.02</t>
  </si>
  <si>
    <t>hds002526.03</t>
  </si>
  <si>
    <t>hds002526.04</t>
  </si>
  <si>
    <t>h020259.01</t>
  </si>
  <si>
    <t>h020259.02</t>
  </si>
  <si>
    <t>h020259.03</t>
  </si>
  <si>
    <t>h020259.04</t>
  </si>
  <si>
    <t>h020259.05</t>
  </si>
  <si>
    <t>h020259.06</t>
  </si>
  <si>
    <t>h020260.01</t>
  </si>
  <si>
    <t>h020260.02</t>
  </si>
  <si>
    <t>h020260.03</t>
  </si>
  <si>
    <t>h020260.04</t>
  </si>
  <si>
    <t>h020260.05</t>
  </si>
  <si>
    <t>h020260.06</t>
  </si>
  <si>
    <t>h020264.01</t>
  </si>
  <si>
    <t>h020264.02</t>
  </si>
  <si>
    <t>h020264.03</t>
  </si>
  <si>
    <t>h020264.04</t>
  </si>
  <si>
    <t>h020264.05</t>
  </si>
  <si>
    <t>h020264.06</t>
  </si>
  <si>
    <t>h002551ps.01</t>
  </si>
  <si>
    <t>h002551ps.02</t>
  </si>
  <si>
    <t>h002551ps.03</t>
  </si>
  <si>
    <t>h002551ps.04</t>
  </si>
  <si>
    <t>h002551ps.05</t>
  </si>
  <si>
    <t>hds020422.01</t>
  </si>
  <si>
    <t>hds020422.02</t>
  </si>
  <si>
    <t>hds020422.03</t>
  </si>
  <si>
    <t>hds020422.04</t>
  </si>
  <si>
    <t>hds020422.05</t>
  </si>
  <si>
    <t>h020417.01</t>
  </si>
  <si>
    <t>h020417.02</t>
  </si>
  <si>
    <t>h020417.03</t>
  </si>
  <si>
    <t>h020417.04</t>
  </si>
  <si>
    <t>h020417.05</t>
  </si>
  <si>
    <t>h020417.06</t>
  </si>
  <si>
    <t>h020419m.01</t>
  </si>
  <si>
    <t>h020419m.02</t>
  </si>
  <si>
    <t>h020419m.03</t>
  </si>
  <si>
    <t>h020419m.04</t>
  </si>
  <si>
    <t>h020419m.05</t>
  </si>
  <si>
    <t>h020419m.06</t>
  </si>
  <si>
    <t>hds020420.01</t>
  </si>
  <si>
    <t>hds020420.02</t>
  </si>
  <si>
    <t>hds020420.03</t>
  </si>
  <si>
    <t>hds020420.04</t>
  </si>
  <si>
    <t>hds020420.05</t>
  </si>
  <si>
    <t>hds020420.06</t>
  </si>
  <si>
    <t>hds020421.01</t>
  </si>
  <si>
    <t>hds020421.02</t>
  </si>
  <si>
    <t>hds020421.03</t>
  </si>
  <si>
    <t>hds020421.04</t>
  </si>
  <si>
    <t>hds020421.05</t>
  </si>
  <si>
    <t>h020418.01</t>
  </si>
  <si>
    <t>h020418.02</t>
  </si>
  <si>
    <t>h020418.03</t>
  </si>
  <si>
    <t>h020418.04</t>
  </si>
  <si>
    <t>h020418.05</t>
  </si>
  <si>
    <t>h020418.06</t>
  </si>
  <si>
    <t>h020418.07</t>
  </si>
  <si>
    <t>h020331.01</t>
  </si>
  <si>
    <t>h020331.02</t>
  </si>
  <si>
    <t>h020331.03</t>
  </si>
  <si>
    <t>h020331.04</t>
  </si>
  <si>
    <t>h020331.05</t>
  </si>
  <si>
    <t>hds020274.01</t>
  </si>
  <si>
    <t>hds020274.02</t>
  </si>
  <si>
    <t>hds020274.03</t>
  </si>
  <si>
    <t>hds020274.04</t>
  </si>
  <si>
    <t>hds020274.05</t>
  </si>
  <si>
    <t>h020275m.01</t>
  </si>
  <si>
    <t>h020275m.02</t>
  </si>
  <si>
    <t>h020275m.03</t>
  </si>
  <si>
    <t>h020275m.04</t>
  </si>
  <si>
    <t>h020275m.05</t>
  </si>
  <si>
    <t>h020275m.06</t>
  </si>
  <si>
    <t>hds003101.01</t>
  </si>
  <si>
    <t>hds003101.02</t>
  </si>
  <si>
    <t>hds003101.03</t>
  </si>
  <si>
    <t>hds003101.04</t>
  </si>
  <si>
    <t>h020276.01</t>
  </si>
  <si>
    <t>h020276.02</t>
  </si>
  <si>
    <t>h020276.03</t>
  </si>
  <si>
    <t>h020276.04</t>
  </si>
  <si>
    <t>h020276.05</t>
  </si>
  <si>
    <t>h020276.06</t>
  </si>
  <si>
    <t>h020276.07</t>
  </si>
  <si>
    <t>h020278.01</t>
  </si>
  <si>
    <t>h020278.02</t>
  </si>
  <si>
    <t>h020278.03</t>
  </si>
  <si>
    <t>h020278.04</t>
  </si>
  <si>
    <t>h020278.05</t>
  </si>
  <si>
    <t>h020278.06</t>
  </si>
  <si>
    <t>h020278.07</t>
  </si>
  <si>
    <t>hds002666.01</t>
  </si>
  <si>
    <t>hds002666.02</t>
  </si>
  <si>
    <t>hds002666.03</t>
  </si>
  <si>
    <t>hds002666.04</t>
  </si>
  <si>
    <t>hds020279.01</t>
  </si>
  <si>
    <t>hds020279.02</t>
  </si>
  <si>
    <t>hds020279.03</t>
  </si>
  <si>
    <t>hds020279.04</t>
  </si>
  <si>
    <t>hds020279.05</t>
  </si>
  <si>
    <t>h020280m.01</t>
  </si>
  <si>
    <t>h020280m.02</t>
  </si>
  <si>
    <t>h020280m.03</t>
  </si>
  <si>
    <t>h020280m.04</t>
  </si>
  <si>
    <t>h020280m.05</t>
  </si>
  <si>
    <t>hds020282.01</t>
  </si>
  <si>
    <t>hds020282.02</t>
  </si>
  <si>
    <t>hds020282.03</t>
  </si>
  <si>
    <t>hds020282.04</t>
  </si>
  <si>
    <t>h002716bs.01</t>
  </si>
  <si>
    <t>h002716bs.02</t>
  </si>
  <si>
    <t>h002716bs.03</t>
  </si>
  <si>
    <t>h002716bs.04</t>
  </si>
  <si>
    <t>h002716bs.05</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</si>
  <si>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</si>
  <si>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</si>
  <si>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</si>
  <si>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</si>
  <si>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MCAT Full Length 1 - Break</t>
  </si>
  <si>
    <t>8th</t>
  </si>
  <si>
    <t>Trial Section</t>
  </si>
  <si>
    <t>trial</t>
  </si>
  <si>
    <t>MCAT Full Length 1 - Trial</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</si>
</sst>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8">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2" fillId="0" borderId="0" xfId="0" applyNumberFormat="1" applyFont="1" applyAlignment="1">
      <alignment wrapText="1"/>
    </xf>
    <xf numFmtId="0" fontId="3" fillId="6" borderId="0" xfId="0" applyFont="1" applyFill="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146"/>
  <sheetViews>
    <sheetView topLeftCell="A126" workbookViewId="0">
      <selection activeCell="K130" sqref="K130"/>
    </sheetView>
  </sheetViews>
  <sheetFormatPr defaultRowHeight="11.25" x14ac:dyDescent="0.2"/>
  <cols>
    <col min="1" max="1" width="9.140625" style="2" customWidth="1" collapsed="1"/>
    <col min="2" max="2" width="16.28515625" style="2" customWidth="1" collapsed="1"/>
    <col min="3" max="3" width="11.7109375" style="2" customWidth="1" collapsed="1"/>
    <col min="4" max="4" width="14.140625" style="2"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11.42578125" style="2" bestFit="1" customWidth="1" collapsed="1"/>
    <col min="13" max="13" width="23.85546875" style="2" customWidth="1" collapsed="1"/>
    <col min="14" max="14" width="10" style="2" bestFit="1" customWidth="1" collapsed="1"/>
    <col min="15" max="23" width="9.140625" style="2"/>
    <col min="24" max="16384" width="9.140625" style="2" collapsed="1"/>
  </cols>
  <sheetData>
    <row r="1" spans="1:14" s="5" customFormat="1" x14ac:dyDescent="0.2">
      <c r="A1" s="5" t="s">
        <v>2</v>
      </c>
      <c r="B1" s="5" t="s">
        <v>71</v>
      </c>
      <c r="C1" s="5" t="s">
        <v>16</v>
      </c>
      <c r="D1" s="5" t="s">
        <v>73</v>
      </c>
      <c r="E1" s="5" t="s">
        <v>17</v>
      </c>
      <c r="F1" s="6" t="s">
        <v>15</v>
      </c>
      <c r="G1" s="5" t="s">
        <v>72</v>
      </c>
      <c r="H1" s="8" t="s">
        <v>14</v>
      </c>
      <c r="I1" s="8" t="s">
        <v>94</v>
      </c>
      <c r="J1" s="7" t="s">
        <v>13</v>
      </c>
      <c r="K1" s="7" t="s">
        <v>64</v>
      </c>
      <c r="L1" s="7" t="s">
        <v>68</v>
      </c>
      <c r="M1" s="7" t="s">
        <v>30</v>
      </c>
      <c r="N1" s="7" t="s">
        <v>69</v>
      </c>
    </row>
    <row r="2" spans="1:14" x14ac:dyDescent="0.2">
      <c r="A2" s="2" t="s">
        <v>3</v>
      </c>
      <c r="B2" s="2" t="s">
        <v>100</v>
      </c>
      <c r="C2" s="2" t="s">
        <v>7</v>
      </c>
      <c r="D2" s="2" t="s">
        <v>103</v>
      </c>
      <c r="E2" s="2">
        <v>1</v>
      </c>
      <c r="F2" s="3">
        <v>1</v>
      </c>
      <c r="G2" s="2">
        <v>1</v>
      </c>
      <c r="H2" s="8">
        <v>1</v>
      </c>
      <c r="J2" s="4">
        <v>1</v>
      </c>
      <c r="K2" s="2" t="str">
        <f t="shared" ref="K2:K78" si="0">IF(H2=J2,"resp-correct","resp-inc")</f>
        <v>resp-correct</v>
      </c>
      <c r="L2" s="2" t="s">
        <v>66</v>
      </c>
      <c r="M2" s="4" t="s">
        <v>32</v>
      </c>
      <c r="N2" s="4" t="s">
        <v>66</v>
      </c>
    </row>
    <row r="3" spans="1:14" x14ac:dyDescent="0.2">
      <c r="A3" s="2" t="s">
        <v>3</v>
      </c>
      <c r="B3" s="2" t="s">
        <v>100</v>
      </c>
      <c r="C3" s="2" t="s">
        <v>7</v>
      </c>
      <c r="D3" s="2" t="s">
        <v>805</v>
      </c>
      <c r="E3" s="2">
        <v>1</v>
      </c>
      <c r="F3" s="3">
        <v>2</v>
      </c>
      <c r="G3" s="2">
        <v>2</v>
      </c>
      <c r="H3" s="8">
        <v>2</v>
      </c>
      <c r="J3" s="4">
        <v>4</v>
      </c>
      <c r="K3" s="2" t="str">
        <f t="shared" si="0"/>
        <v>resp-inc</v>
      </c>
      <c r="L3" s="2" t="s">
        <v>66</v>
      </c>
      <c r="M3" s="4" t="s">
        <v>32</v>
      </c>
      <c r="N3" s="4" t="s">
        <v>66</v>
      </c>
    </row>
    <row r="4" spans="1:14" x14ac:dyDescent="0.2">
      <c r="A4" s="2" t="s">
        <v>3</v>
      </c>
      <c r="B4" s="2" t="s">
        <v>100</v>
      </c>
      <c r="C4" s="2" t="s">
        <v>7</v>
      </c>
      <c r="D4" s="2" t="s">
        <v>806</v>
      </c>
      <c r="E4" s="2">
        <v>1</v>
      </c>
      <c r="F4" s="3">
        <v>3</v>
      </c>
      <c r="G4" s="2">
        <v>3</v>
      </c>
      <c r="H4" s="8">
        <v>1</v>
      </c>
      <c r="J4" s="4">
        <v>3</v>
      </c>
      <c r="K4" s="2" t="str">
        <f t="shared" si="0"/>
        <v>resp-inc</v>
      </c>
      <c r="L4" s="2" t="s">
        <v>66</v>
      </c>
      <c r="M4" s="4" t="s">
        <v>32</v>
      </c>
      <c r="N4" s="4" t="s">
        <v>66</v>
      </c>
    </row>
    <row r="5" spans="1:14" x14ac:dyDescent="0.2">
      <c r="A5" s="2" t="s">
        <v>3</v>
      </c>
      <c r="B5" s="2" t="s">
        <v>100</v>
      </c>
      <c r="C5" s="2" t="s">
        <v>7</v>
      </c>
      <c r="D5" s="2" t="s">
        <v>807</v>
      </c>
      <c r="E5" s="2">
        <v>1</v>
      </c>
      <c r="F5" s="3">
        <v>4</v>
      </c>
      <c r="G5" s="2">
        <v>4</v>
      </c>
      <c r="H5" s="8">
        <v>1</v>
      </c>
      <c r="J5" s="4">
        <v>2</v>
      </c>
      <c r="K5" s="2" t="str">
        <f t="shared" si="0"/>
        <v>resp-inc</v>
      </c>
      <c r="L5" s="2" t="s">
        <v>66</v>
      </c>
      <c r="M5" s="4" t="s">
        <v>32</v>
      </c>
      <c r="N5" s="4" t="s">
        <v>66</v>
      </c>
    </row>
    <row r="6" spans="1:14" x14ac:dyDescent="0.2">
      <c r="A6" s="2" t="s">
        <v>3</v>
      </c>
      <c r="B6" s="2" t="s">
        <v>100</v>
      </c>
      <c r="C6" s="2" t="s">
        <v>7</v>
      </c>
      <c r="D6" s="2" t="s">
        <v>808</v>
      </c>
      <c r="E6" s="2">
        <v>1</v>
      </c>
      <c r="F6" s="3">
        <v>5</v>
      </c>
      <c r="G6" s="2">
        <v>5</v>
      </c>
      <c r="H6" s="8">
        <v>2</v>
      </c>
      <c r="J6" s="4">
        <v>1</v>
      </c>
      <c r="K6" s="2" t="str">
        <f t="shared" si="0"/>
        <v>resp-inc</v>
      </c>
      <c r="L6" s="2" t="s">
        <v>66</v>
      </c>
      <c r="M6" s="4" t="s">
        <v>32</v>
      </c>
      <c r="N6" s="4" t="s">
        <v>66</v>
      </c>
    </row>
    <row r="7" spans="1:14" x14ac:dyDescent="0.2">
      <c r="A7" s="2" t="s">
        <v>3</v>
      </c>
      <c r="B7" s="2" t="s">
        <v>100</v>
      </c>
      <c r="C7" s="2" t="s">
        <v>8</v>
      </c>
      <c r="D7" s="2" t="s">
        <v>809</v>
      </c>
      <c r="E7" s="2">
        <v>2</v>
      </c>
      <c r="F7" s="3">
        <v>1</v>
      </c>
      <c r="G7" s="2">
        <v>6</v>
      </c>
      <c r="H7" s="8">
        <v>2</v>
      </c>
      <c r="J7" s="4">
        <v>1</v>
      </c>
      <c r="K7" s="2" t="str">
        <f t="shared" si="0"/>
        <v>resp-inc</v>
      </c>
      <c r="L7" s="2" t="s">
        <v>66</v>
      </c>
      <c r="M7" s="4" t="s">
        <v>795</v>
      </c>
      <c r="N7" s="4" t="s">
        <v>66</v>
      </c>
    </row>
    <row r="8" spans="1:14" x14ac:dyDescent="0.2">
      <c r="A8" s="2" t="s">
        <v>3</v>
      </c>
      <c r="B8" s="2" t="s">
        <v>100</v>
      </c>
      <c r="C8" s="2" t="s">
        <v>8</v>
      </c>
      <c r="D8" s="2" t="s">
        <v>810</v>
      </c>
      <c r="E8" s="2">
        <v>2</v>
      </c>
      <c r="F8" s="3">
        <v>2</v>
      </c>
      <c r="G8" s="2">
        <v>7</v>
      </c>
      <c r="H8" s="8">
        <v>2</v>
      </c>
      <c r="J8" s="4">
        <v>4</v>
      </c>
      <c r="K8" s="2" t="str">
        <f t="shared" si="0"/>
        <v>resp-inc</v>
      </c>
      <c r="L8" s="2" t="s">
        <v>66</v>
      </c>
      <c r="M8" s="4" t="s">
        <v>795</v>
      </c>
      <c r="N8" s="4" t="s">
        <v>66</v>
      </c>
    </row>
    <row r="9" spans="1:14" ht="15" x14ac:dyDescent="0.25">
      <c r="A9" s="2" t="s">
        <v>3</v>
      </c>
      <c r="B9" s="2" t="s">
        <v>100</v>
      </c>
      <c r="C9" s="2" t="s">
        <v>8</v>
      </c>
      <c r="D9" s="2" t="s">
        <v>811</v>
      </c>
      <c r="E9" s="2">
        <v>2</v>
      </c>
      <c r="F9" s="3">
        <v>3</v>
      </c>
      <c r="G9" s="2">
        <v>8</v>
      </c>
      <c r="H9" s="8">
        <v>2</v>
      </c>
      <c r="J9" s="4">
        <v>3</v>
      </c>
      <c r="K9" s="2" t="str">
        <f t="shared" si="0"/>
        <v>resp-inc</v>
      </c>
      <c r="L9" s="2" t="s">
        <v>66</v>
      </c>
      <c r="M9" s="2" t="s">
        <v>795</v>
      </c>
      <c r="N9" t="s">
        <v>66</v>
      </c>
    </row>
    <row r="10" spans="1:14" ht="15" x14ac:dyDescent="0.25">
      <c r="A10" s="2" t="s">
        <v>3</v>
      </c>
      <c r="B10" s="2" t="s">
        <v>100</v>
      </c>
      <c r="C10" s="2" t="s">
        <v>8</v>
      </c>
      <c r="D10" s="2" t="s">
        <v>812</v>
      </c>
      <c r="E10" s="2">
        <v>2</v>
      </c>
      <c r="F10" s="3">
        <v>4</v>
      </c>
      <c r="G10" s="2">
        <v>9</v>
      </c>
      <c r="H10" s="8">
        <v>2</v>
      </c>
      <c r="J10" s="4">
        <v>1</v>
      </c>
      <c r="K10" s="2" t="str">
        <f t="shared" si="0"/>
        <v>resp-inc</v>
      </c>
      <c r="L10" s="2" t="s">
        <v>66</v>
      </c>
      <c r="M10" s="2" t="s">
        <v>795</v>
      </c>
      <c r="N10" t="s">
        <v>66</v>
      </c>
    </row>
    <row r="11" spans="1:14" ht="15" x14ac:dyDescent="0.25">
      <c r="A11" s="2" t="s">
        <v>3</v>
      </c>
      <c r="B11" s="2" t="s">
        <v>100</v>
      </c>
      <c r="C11" s="2" t="s">
        <v>6</v>
      </c>
      <c r="D11" s="2" t="s">
        <v>813</v>
      </c>
      <c r="E11" s="2">
        <v>3</v>
      </c>
      <c r="F11" s="3">
        <v>1</v>
      </c>
      <c r="G11" s="2">
        <v>10</v>
      </c>
      <c r="H11" s="8">
        <v>2</v>
      </c>
      <c r="J11" s="4">
        <v>2</v>
      </c>
      <c r="K11" s="2" t="str">
        <f t="shared" si="0"/>
        <v>resp-correct</v>
      </c>
      <c r="L11" s="2" t="s">
        <v>66</v>
      </c>
      <c r="M11" s="2" t="s">
        <v>796</v>
      </c>
      <c r="N11" t="s">
        <v>66</v>
      </c>
    </row>
    <row r="12" spans="1:14" x14ac:dyDescent="0.2">
      <c r="A12" s="2" t="s">
        <v>3</v>
      </c>
      <c r="B12" s="2" t="s">
        <v>100</v>
      </c>
      <c r="C12" s="2" t="s">
        <v>6</v>
      </c>
      <c r="D12" s="2" t="s">
        <v>814</v>
      </c>
      <c r="E12" s="2">
        <v>3</v>
      </c>
      <c r="F12" s="3">
        <v>2</v>
      </c>
      <c r="G12" s="2">
        <v>11</v>
      </c>
      <c r="H12" s="8">
        <v>3</v>
      </c>
      <c r="J12" s="4">
        <v>3</v>
      </c>
      <c r="K12" s="2" t="str">
        <f t="shared" si="0"/>
        <v>resp-correct</v>
      </c>
      <c r="L12" s="2" t="s">
        <v>66</v>
      </c>
      <c r="M12" s="4" t="s">
        <v>32</v>
      </c>
      <c r="N12" s="4" t="s">
        <v>66</v>
      </c>
    </row>
    <row r="13" spans="1:14" x14ac:dyDescent="0.2">
      <c r="A13" s="2" t="s">
        <v>3</v>
      </c>
      <c r="B13" s="2" t="s">
        <v>100</v>
      </c>
      <c r="C13" s="2" t="s">
        <v>6</v>
      </c>
      <c r="D13" s="2" t="s">
        <v>815</v>
      </c>
      <c r="E13" s="2">
        <v>3</v>
      </c>
      <c r="F13" s="3">
        <v>3</v>
      </c>
      <c r="G13" s="2">
        <v>12</v>
      </c>
      <c r="H13" s="8">
        <v>3</v>
      </c>
      <c r="J13" s="4">
        <v>4</v>
      </c>
      <c r="K13" s="2" t="str">
        <f t="shared" si="0"/>
        <v>resp-inc</v>
      </c>
      <c r="L13" s="2" t="s">
        <v>66</v>
      </c>
      <c r="M13" s="4" t="s">
        <v>34</v>
      </c>
      <c r="N13" s="4" t="s">
        <v>66</v>
      </c>
    </row>
    <row r="14" spans="1:14" ht="15" x14ac:dyDescent="0.25">
      <c r="A14" s="2" t="s">
        <v>3</v>
      </c>
      <c r="B14" s="2" t="s">
        <v>100</v>
      </c>
      <c r="C14" s="2" t="s">
        <v>6</v>
      </c>
      <c r="D14" s="2" t="s">
        <v>816</v>
      </c>
      <c r="E14" s="2">
        <v>3</v>
      </c>
      <c r="F14" s="3">
        <v>4</v>
      </c>
      <c r="G14" s="2">
        <v>13</v>
      </c>
      <c r="H14" s="8">
        <v>3</v>
      </c>
      <c r="J14" s="4">
        <v>1</v>
      </c>
      <c r="K14" s="2" t="str">
        <f t="shared" si="0"/>
        <v>resp-inc</v>
      </c>
      <c r="L14" s="2" t="s">
        <v>66</v>
      </c>
      <c r="M14" s="2" t="s">
        <v>797</v>
      </c>
      <c r="N14" t="s">
        <v>66</v>
      </c>
    </row>
    <row r="15" spans="1:14" ht="15" x14ac:dyDescent="0.25">
      <c r="A15" s="2" t="s">
        <v>3</v>
      </c>
      <c r="B15" s="2" t="s">
        <v>100</v>
      </c>
      <c r="C15" s="2" t="s">
        <v>9</v>
      </c>
      <c r="D15" s="2" t="s">
        <v>817</v>
      </c>
      <c r="E15" s="2">
        <v>4</v>
      </c>
      <c r="F15" s="3">
        <v>1</v>
      </c>
      <c r="G15" s="2">
        <v>14</v>
      </c>
      <c r="H15" s="8">
        <v>3</v>
      </c>
      <c r="J15" s="4">
        <v>3</v>
      </c>
      <c r="K15" s="2" t="str">
        <f t="shared" si="0"/>
        <v>resp-correct</v>
      </c>
      <c r="L15" s="2" t="s">
        <v>66</v>
      </c>
      <c r="M15" s="2" t="s">
        <v>36</v>
      </c>
      <c r="N15" t="s">
        <v>66</v>
      </c>
    </row>
    <row r="16" spans="1:14" x14ac:dyDescent="0.2">
      <c r="A16" s="2" t="s">
        <v>3</v>
      </c>
      <c r="B16" s="2" t="s">
        <v>100</v>
      </c>
      <c r="C16" s="2" t="s">
        <v>9</v>
      </c>
      <c r="D16" s="2" t="s">
        <v>818</v>
      </c>
      <c r="E16" s="2">
        <v>4</v>
      </c>
      <c r="F16" s="3">
        <v>2</v>
      </c>
      <c r="G16" s="2">
        <v>15</v>
      </c>
      <c r="H16" s="8">
        <v>3</v>
      </c>
      <c r="J16" s="4">
        <v>1</v>
      </c>
      <c r="K16" s="2" t="str">
        <f t="shared" si="0"/>
        <v>resp-inc</v>
      </c>
      <c r="L16" s="2" t="s">
        <v>66</v>
      </c>
      <c r="M16" s="4" t="s">
        <v>31</v>
      </c>
      <c r="N16" s="4" t="s">
        <v>66</v>
      </c>
    </row>
    <row r="17" spans="1:14" ht="15" x14ac:dyDescent="0.25">
      <c r="A17" s="2" t="s">
        <v>3</v>
      </c>
      <c r="B17" s="2" t="s">
        <v>100</v>
      </c>
      <c r="C17" s="2" t="s">
        <v>9</v>
      </c>
      <c r="D17" s="2" t="s">
        <v>819</v>
      </c>
      <c r="E17" s="2">
        <v>4</v>
      </c>
      <c r="F17" s="3">
        <v>3</v>
      </c>
      <c r="G17" s="2">
        <v>16</v>
      </c>
      <c r="H17" s="8">
        <v>3</v>
      </c>
      <c r="J17" s="4">
        <v>1</v>
      </c>
      <c r="K17" s="2" t="str">
        <f t="shared" si="0"/>
        <v>resp-inc</v>
      </c>
      <c r="L17" s="2" t="s">
        <v>66</v>
      </c>
      <c r="M17" s="2" t="s">
        <v>36</v>
      </c>
      <c r="N17" t="s">
        <v>66</v>
      </c>
    </row>
    <row r="18" spans="1:14" ht="15" x14ac:dyDescent="0.25">
      <c r="A18" s="2" t="s">
        <v>3</v>
      </c>
      <c r="B18" s="2" t="s">
        <v>100</v>
      </c>
      <c r="C18" s="2" t="s">
        <v>9</v>
      </c>
      <c r="D18" s="2" t="s">
        <v>820</v>
      </c>
      <c r="E18" s="2">
        <v>4</v>
      </c>
      <c r="F18" s="3">
        <v>4</v>
      </c>
      <c r="G18" s="2">
        <v>17</v>
      </c>
      <c r="H18" s="8">
        <v>4</v>
      </c>
      <c r="J18" s="4">
        <v>2</v>
      </c>
      <c r="K18" s="2" t="str">
        <f t="shared" si="0"/>
        <v>resp-inc</v>
      </c>
      <c r="L18" s="2" t="s">
        <v>66</v>
      </c>
      <c r="M18" s="2" t="s">
        <v>36</v>
      </c>
      <c r="N18" t="s">
        <v>66</v>
      </c>
    </row>
    <row r="19" spans="1:14" ht="15" x14ac:dyDescent="0.25">
      <c r="A19" s="2" t="s">
        <v>3</v>
      </c>
      <c r="B19" s="2" t="s">
        <v>100</v>
      </c>
      <c r="C19" s="2" t="s">
        <v>9</v>
      </c>
      <c r="D19" s="2" t="s">
        <v>821</v>
      </c>
      <c r="E19" s="2">
        <v>4</v>
      </c>
      <c r="F19" s="3">
        <v>5</v>
      </c>
      <c r="G19" s="2">
        <v>18</v>
      </c>
      <c r="H19" s="8">
        <v>4</v>
      </c>
      <c r="J19" s="4">
        <v>1</v>
      </c>
      <c r="K19" s="2" t="str">
        <f t="shared" si="0"/>
        <v>resp-inc</v>
      </c>
      <c r="L19" s="2" t="s">
        <v>66</v>
      </c>
      <c r="M19" s="2" t="s">
        <v>36</v>
      </c>
      <c r="N19" t="s">
        <v>66</v>
      </c>
    </row>
    <row r="20" spans="1:14" ht="15" x14ac:dyDescent="0.25">
      <c r="A20" s="2" t="s">
        <v>3</v>
      </c>
      <c r="B20" s="2" t="s">
        <v>100</v>
      </c>
      <c r="C20" s="2" t="s">
        <v>9</v>
      </c>
      <c r="D20" s="2" t="s">
        <v>822</v>
      </c>
      <c r="E20" s="2">
        <v>4</v>
      </c>
      <c r="F20" s="3">
        <v>6</v>
      </c>
      <c r="G20" s="2">
        <v>19</v>
      </c>
      <c r="H20" s="8">
        <v>4</v>
      </c>
      <c r="J20" s="4">
        <v>3</v>
      </c>
      <c r="K20" s="2" t="str">
        <f t="shared" si="0"/>
        <v>resp-inc</v>
      </c>
      <c r="L20" s="2" t="s">
        <v>66</v>
      </c>
      <c r="M20" s="2" t="s">
        <v>31</v>
      </c>
      <c r="N20" t="s">
        <v>66</v>
      </c>
    </row>
    <row r="21" spans="1:14" ht="15" x14ac:dyDescent="0.25">
      <c r="A21" s="2" t="s">
        <v>3</v>
      </c>
      <c r="B21" s="2" t="s">
        <v>100</v>
      </c>
      <c r="C21" s="2" t="s">
        <v>9</v>
      </c>
      <c r="D21" s="2" t="s">
        <v>823</v>
      </c>
      <c r="E21" s="2">
        <v>4</v>
      </c>
      <c r="F21" s="3">
        <v>7</v>
      </c>
      <c r="G21" s="2">
        <v>20</v>
      </c>
      <c r="H21" s="8">
        <v>4</v>
      </c>
      <c r="J21" s="4">
        <v>4</v>
      </c>
      <c r="K21" s="2" t="str">
        <f t="shared" si="0"/>
        <v>resp-correct</v>
      </c>
      <c r="L21" s="2" t="s">
        <v>66</v>
      </c>
      <c r="M21" s="2" t="s">
        <v>31</v>
      </c>
      <c r="N21" t="s">
        <v>66</v>
      </c>
    </row>
    <row r="22" spans="1:14" ht="15" x14ac:dyDescent="0.25">
      <c r="A22" s="2" t="s">
        <v>3</v>
      </c>
      <c r="B22" s="2" t="s">
        <v>100</v>
      </c>
      <c r="C22" s="2" t="s">
        <v>10</v>
      </c>
      <c r="D22" s="2" t="s">
        <v>824</v>
      </c>
      <c r="E22" s="2">
        <v>5</v>
      </c>
      <c r="F22" s="3">
        <v>1</v>
      </c>
      <c r="G22" s="2">
        <v>21</v>
      </c>
      <c r="H22" s="8">
        <v>4</v>
      </c>
      <c r="J22" s="4">
        <v>3</v>
      </c>
      <c r="K22" s="2" t="str">
        <f t="shared" si="0"/>
        <v>resp-inc</v>
      </c>
      <c r="L22" s="2" t="s">
        <v>66</v>
      </c>
      <c r="M22" s="2" t="s">
        <v>35</v>
      </c>
      <c r="N22" t="s">
        <v>66</v>
      </c>
    </row>
    <row r="23" spans="1:14" ht="15" x14ac:dyDescent="0.25">
      <c r="A23" s="2" t="s">
        <v>3</v>
      </c>
      <c r="B23" s="2" t="s">
        <v>100</v>
      </c>
      <c r="C23" s="2" t="s">
        <v>10</v>
      </c>
      <c r="D23" s="2" t="s">
        <v>825</v>
      </c>
      <c r="E23" s="2">
        <v>5</v>
      </c>
      <c r="F23" s="3">
        <v>2</v>
      </c>
      <c r="G23" s="2">
        <v>22</v>
      </c>
      <c r="H23" s="8">
        <v>1</v>
      </c>
      <c r="J23" s="4">
        <v>1</v>
      </c>
      <c r="K23" s="2" t="str">
        <f t="shared" si="0"/>
        <v>resp-correct</v>
      </c>
      <c r="L23" s="2" t="s">
        <v>65</v>
      </c>
      <c r="M23" s="2" t="s">
        <v>65</v>
      </c>
      <c r="N23" t="s">
        <v>66</v>
      </c>
    </row>
    <row r="24" spans="1:14" ht="15" x14ac:dyDescent="0.25">
      <c r="A24" s="2" t="s">
        <v>3</v>
      </c>
      <c r="B24" s="2" t="s">
        <v>100</v>
      </c>
      <c r="C24" s="2" t="s">
        <v>10</v>
      </c>
      <c r="D24" s="2" t="s">
        <v>826</v>
      </c>
      <c r="E24" s="2">
        <v>5</v>
      </c>
      <c r="F24" s="3">
        <v>3</v>
      </c>
      <c r="G24" s="2">
        <v>23</v>
      </c>
      <c r="H24" s="8">
        <v>1</v>
      </c>
      <c r="J24" s="4">
        <v>2</v>
      </c>
      <c r="K24" s="2" t="str">
        <f t="shared" si="0"/>
        <v>resp-inc</v>
      </c>
      <c r="L24" s="2" t="s">
        <v>65</v>
      </c>
      <c r="M24" s="2" t="s">
        <v>65</v>
      </c>
      <c r="N24" t="s">
        <v>66</v>
      </c>
    </row>
    <row r="25" spans="1:14" ht="15" x14ac:dyDescent="0.25">
      <c r="A25" s="2" t="s">
        <v>3</v>
      </c>
      <c r="B25" s="2" t="s">
        <v>100</v>
      </c>
      <c r="C25" s="2" t="s">
        <v>10</v>
      </c>
      <c r="D25" s="2" t="s">
        <v>827</v>
      </c>
      <c r="E25" s="2">
        <v>5</v>
      </c>
      <c r="F25" s="3">
        <v>4</v>
      </c>
      <c r="G25" s="2">
        <v>24</v>
      </c>
      <c r="H25" s="8">
        <v>1</v>
      </c>
      <c r="J25" s="4">
        <v>4</v>
      </c>
      <c r="K25" s="2" t="str">
        <f t="shared" si="0"/>
        <v>resp-inc</v>
      </c>
      <c r="L25" s="2" t="s">
        <v>65</v>
      </c>
      <c r="M25" s="2" t="s">
        <v>65</v>
      </c>
      <c r="N25" t="s">
        <v>66</v>
      </c>
    </row>
    <row r="26" spans="1:14" ht="15" x14ac:dyDescent="0.25">
      <c r="A26" s="2" t="s">
        <v>3</v>
      </c>
      <c r="B26" s="2" t="s">
        <v>100</v>
      </c>
      <c r="C26" s="2" t="s">
        <v>10</v>
      </c>
      <c r="D26" s="2" t="s">
        <v>828</v>
      </c>
      <c r="E26" s="2">
        <v>5</v>
      </c>
      <c r="F26" s="3">
        <v>5</v>
      </c>
      <c r="G26" s="2">
        <v>25</v>
      </c>
      <c r="H26" s="8">
        <v>1</v>
      </c>
      <c r="J26" s="4">
        <v>4</v>
      </c>
      <c r="K26" s="2" t="str">
        <f t="shared" si="0"/>
        <v>resp-inc</v>
      </c>
      <c r="L26" s="2" t="s">
        <v>65</v>
      </c>
      <c r="M26" s="2" t="s">
        <v>65</v>
      </c>
      <c r="N26" t="s">
        <v>66</v>
      </c>
    </row>
    <row r="27" spans="1:14" ht="15" x14ac:dyDescent="0.25">
      <c r="A27" s="2" t="s">
        <v>3</v>
      </c>
      <c r="B27" s="2" t="s">
        <v>100</v>
      </c>
      <c r="C27" s="2" t="s">
        <v>6</v>
      </c>
      <c r="D27" s="2" t="s">
        <v>829</v>
      </c>
      <c r="E27" s="2">
        <v>6</v>
      </c>
      <c r="F27" s="3">
        <v>6</v>
      </c>
      <c r="G27" s="2">
        <v>26</v>
      </c>
      <c r="H27" s="8">
        <v>2</v>
      </c>
      <c r="J27" s="4">
        <v>3</v>
      </c>
      <c r="K27" s="2" t="str">
        <f t="shared" si="0"/>
        <v>resp-inc</v>
      </c>
      <c r="L27" s="2" t="s">
        <v>66</v>
      </c>
      <c r="M27" s="2" t="s">
        <v>40</v>
      </c>
      <c r="N27" t="s">
        <v>66</v>
      </c>
    </row>
    <row r="28" spans="1:14" ht="15" x14ac:dyDescent="0.25">
      <c r="A28" s="2" t="s">
        <v>3</v>
      </c>
      <c r="B28" s="2" t="s">
        <v>100</v>
      </c>
      <c r="C28" s="2" t="s">
        <v>6</v>
      </c>
      <c r="D28" s="2" t="s">
        <v>830</v>
      </c>
      <c r="E28" s="2">
        <v>6</v>
      </c>
      <c r="F28" s="3">
        <v>2</v>
      </c>
      <c r="G28" s="2">
        <v>27</v>
      </c>
      <c r="H28" s="8">
        <v>2</v>
      </c>
      <c r="J28" s="4">
        <v>2</v>
      </c>
      <c r="K28" s="2" t="str">
        <f t="shared" si="0"/>
        <v>resp-correct</v>
      </c>
      <c r="L28" s="2" t="s">
        <v>66</v>
      </c>
      <c r="M28" s="2" t="s">
        <v>38</v>
      </c>
      <c r="N28" t="s">
        <v>66</v>
      </c>
    </row>
    <row r="29" spans="1:14" ht="15" x14ac:dyDescent="0.25">
      <c r="A29" s="2" t="s">
        <v>3</v>
      </c>
      <c r="B29" s="2" t="s">
        <v>100</v>
      </c>
      <c r="C29" s="2" t="s">
        <v>6</v>
      </c>
      <c r="D29" s="2" t="s">
        <v>831</v>
      </c>
      <c r="E29" s="2">
        <v>6</v>
      </c>
      <c r="F29" s="3">
        <v>3</v>
      </c>
      <c r="G29" s="2">
        <v>28</v>
      </c>
      <c r="H29" s="8">
        <v>2</v>
      </c>
      <c r="J29" s="4">
        <v>3</v>
      </c>
      <c r="K29" s="2" t="str">
        <f t="shared" si="0"/>
        <v>resp-inc</v>
      </c>
      <c r="L29" s="2" t="s">
        <v>66</v>
      </c>
      <c r="M29" s="2" t="s">
        <v>36</v>
      </c>
      <c r="N29" t="s">
        <v>66</v>
      </c>
    </row>
    <row r="30" spans="1:14" ht="15" x14ac:dyDescent="0.25">
      <c r="A30" s="2" t="s">
        <v>3</v>
      </c>
      <c r="B30" s="2" t="s">
        <v>100</v>
      </c>
      <c r="C30" s="2" t="s">
        <v>6</v>
      </c>
      <c r="D30" s="2" t="s">
        <v>832</v>
      </c>
      <c r="E30" s="2">
        <v>6</v>
      </c>
      <c r="F30" s="3">
        <v>4</v>
      </c>
      <c r="G30" s="2">
        <v>29</v>
      </c>
      <c r="H30" s="8">
        <v>2</v>
      </c>
      <c r="J30" s="4">
        <v>2</v>
      </c>
      <c r="K30" s="2" t="str">
        <f t="shared" si="0"/>
        <v>resp-correct</v>
      </c>
      <c r="L30" s="2" t="s">
        <v>66</v>
      </c>
      <c r="M30" s="2" t="s">
        <v>33</v>
      </c>
      <c r="N30" t="s">
        <v>66</v>
      </c>
    </row>
    <row r="31" spans="1:14" ht="15" x14ac:dyDescent="0.25">
      <c r="A31" s="2" t="s">
        <v>3</v>
      </c>
      <c r="B31" s="2" t="s">
        <v>100</v>
      </c>
      <c r="C31" s="2" t="s">
        <v>11</v>
      </c>
      <c r="D31" s="2" t="s">
        <v>833</v>
      </c>
      <c r="E31" s="2">
        <v>7</v>
      </c>
      <c r="F31" s="3">
        <v>1</v>
      </c>
      <c r="G31" s="2">
        <v>30</v>
      </c>
      <c r="H31" s="8">
        <v>2</v>
      </c>
      <c r="J31" s="4">
        <v>4</v>
      </c>
      <c r="K31" s="2" t="str">
        <f t="shared" si="0"/>
        <v>resp-inc</v>
      </c>
      <c r="L31" s="2" t="s">
        <v>66</v>
      </c>
      <c r="M31" s="2" t="s">
        <v>35</v>
      </c>
      <c r="N31" t="s">
        <v>66</v>
      </c>
    </row>
    <row r="32" spans="1:14" ht="15" x14ac:dyDescent="0.25">
      <c r="A32" s="2" t="s">
        <v>3</v>
      </c>
      <c r="B32" s="2" t="s">
        <v>100</v>
      </c>
      <c r="C32" s="2" t="s">
        <v>11</v>
      </c>
      <c r="D32" s="2" t="s">
        <v>834</v>
      </c>
      <c r="E32" s="2">
        <v>7</v>
      </c>
      <c r="F32" s="3">
        <v>2</v>
      </c>
      <c r="G32" s="2">
        <v>31</v>
      </c>
      <c r="H32" s="8">
        <v>1</v>
      </c>
      <c r="J32" s="4">
        <v>3</v>
      </c>
      <c r="K32" s="2" t="str">
        <f t="shared" si="0"/>
        <v>resp-inc</v>
      </c>
      <c r="L32" s="2" t="s">
        <v>66</v>
      </c>
      <c r="M32" s="2" t="s">
        <v>35</v>
      </c>
      <c r="N32" t="s">
        <v>66</v>
      </c>
    </row>
    <row r="33" spans="1:14" ht="15" x14ac:dyDescent="0.25">
      <c r="A33" s="2" t="s">
        <v>3</v>
      </c>
      <c r="B33" s="2" t="s">
        <v>100</v>
      </c>
      <c r="C33" s="2" t="s">
        <v>11</v>
      </c>
      <c r="D33" s="2" t="s">
        <v>835</v>
      </c>
      <c r="E33" s="2">
        <v>7</v>
      </c>
      <c r="F33" s="3">
        <v>3</v>
      </c>
      <c r="G33" s="2">
        <v>32</v>
      </c>
      <c r="H33" s="8">
        <v>2</v>
      </c>
      <c r="J33" s="4">
        <v>2</v>
      </c>
      <c r="K33" s="2" t="str">
        <f t="shared" si="0"/>
        <v>resp-correct</v>
      </c>
      <c r="L33" s="2" t="s">
        <v>66</v>
      </c>
      <c r="M33" s="2" t="s">
        <v>35</v>
      </c>
      <c r="N33" t="s">
        <v>66</v>
      </c>
    </row>
    <row r="34" spans="1:14" ht="15" x14ac:dyDescent="0.25">
      <c r="A34" s="2" t="s">
        <v>3</v>
      </c>
      <c r="B34" s="2" t="s">
        <v>100</v>
      </c>
      <c r="C34" s="2" t="s">
        <v>11</v>
      </c>
      <c r="D34" s="2" t="s">
        <v>836</v>
      </c>
      <c r="E34" s="2">
        <v>7</v>
      </c>
      <c r="F34" s="3">
        <v>4</v>
      </c>
      <c r="G34" s="2">
        <v>33</v>
      </c>
      <c r="H34" s="8">
        <v>1</v>
      </c>
      <c r="J34" s="4">
        <v>4</v>
      </c>
      <c r="K34" s="2" t="str">
        <f t="shared" si="0"/>
        <v>resp-inc</v>
      </c>
      <c r="L34" s="2" t="s">
        <v>66</v>
      </c>
      <c r="M34" s="2" t="s">
        <v>796</v>
      </c>
      <c r="N34" t="s">
        <v>66</v>
      </c>
    </row>
    <row r="35" spans="1:14" ht="15" x14ac:dyDescent="0.25">
      <c r="A35" s="2" t="s">
        <v>3</v>
      </c>
      <c r="B35" s="2" t="s">
        <v>100</v>
      </c>
      <c r="C35" s="2" t="s">
        <v>11</v>
      </c>
      <c r="D35" s="2" t="s">
        <v>837</v>
      </c>
      <c r="E35" s="2">
        <v>7</v>
      </c>
      <c r="F35" s="3">
        <v>5</v>
      </c>
      <c r="G35" s="2">
        <v>34</v>
      </c>
      <c r="H35" s="8">
        <v>1</v>
      </c>
      <c r="J35" s="4">
        <v>1</v>
      </c>
      <c r="K35" s="2" t="str">
        <f t="shared" si="0"/>
        <v>resp-correct</v>
      </c>
      <c r="L35" s="2" t="s">
        <v>66</v>
      </c>
      <c r="M35" s="2" t="s">
        <v>796</v>
      </c>
      <c r="N35" t="s">
        <v>66</v>
      </c>
    </row>
    <row r="36" spans="1:14" ht="15" x14ac:dyDescent="0.25">
      <c r="A36" s="2" t="s">
        <v>3</v>
      </c>
      <c r="B36" s="2" t="s">
        <v>100</v>
      </c>
      <c r="C36" s="2" t="s">
        <v>11</v>
      </c>
      <c r="D36" s="2" t="s">
        <v>838</v>
      </c>
      <c r="E36" s="2">
        <v>7</v>
      </c>
      <c r="F36" s="3">
        <v>6</v>
      </c>
      <c r="G36" s="2">
        <v>35</v>
      </c>
      <c r="H36" s="8">
        <v>2</v>
      </c>
      <c r="J36" s="4">
        <v>2</v>
      </c>
      <c r="K36" s="2" t="str">
        <f t="shared" si="0"/>
        <v>resp-correct</v>
      </c>
      <c r="L36" s="2" t="s">
        <v>66</v>
      </c>
      <c r="M36" s="2" t="s">
        <v>39</v>
      </c>
      <c r="N36" t="s">
        <v>66</v>
      </c>
    </row>
    <row r="37" spans="1:14" ht="15" x14ac:dyDescent="0.25">
      <c r="A37" s="2" t="s">
        <v>3</v>
      </c>
      <c r="B37" s="2" t="s">
        <v>100</v>
      </c>
      <c r="C37" s="2" t="s">
        <v>12</v>
      </c>
      <c r="D37" s="2" t="s">
        <v>839</v>
      </c>
      <c r="E37" s="2">
        <v>8</v>
      </c>
      <c r="F37" s="3">
        <v>1</v>
      </c>
      <c r="G37" s="2">
        <v>36</v>
      </c>
      <c r="H37" s="8">
        <v>2</v>
      </c>
      <c r="J37" s="4">
        <v>2</v>
      </c>
      <c r="K37" s="2" t="str">
        <f t="shared" si="0"/>
        <v>resp-correct</v>
      </c>
      <c r="L37" s="2" t="s">
        <v>66</v>
      </c>
      <c r="M37" s="2" t="s">
        <v>33</v>
      </c>
      <c r="N37" t="s">
        <v>66</v>
      </c>
    </row>
    <row r="38" spans="1:14" ht="15" x14ac:dyDescent="0.25">
      <c r="A38" s="2" t="s">
        <v>3</v>
      </c>
      <c r="B38" s="2" t="s">
        <v>100</v>
      </c>
      <c r="C38" s="2" t="s">
        <v>12</v>
      </c>
      <c r="D38" s="2" t="s">
        <v>840</v>
      </c>
      <c r="E38" s="2">
        <v>8</v>
      </c>
      <c r="F38" s="3">
        <v>2</v>
      </c>
      <c r="G38" s="2">
        <v>37</v>
      </c>
      <c r="H38" s="8">
        <v>2</v>
      </c>
      <c r="J38" s="4">
        <v>3</v>
      </c>
      <c r="K38" s="2" t="str">
        <f t="shared" si="0"/>
        <v>resp-inc</v>
      </c>
      <c r="L38" s="2" t="s">
        <v>66</v>
      </c>
      <c r="M38" s="2" t="s">
        <v>33</v>
      </c>
      <c r="N38" t="s">
        <v>66</v>
      </c>
    </row>
    <row r="39" spans="1:14" ht="15" x14ac:dyDescent="0.25">
      <c r="A39" s="2" t="s">
        <v>3</v>
      </c>
      <c r="B39" s="2" t="s">
        <v>100</v>
      </c>
      <c r="C39" s="2" t="s">
        <v>12</v>
      </c>
      <c r="D39" s="2" t="s">
        <v>841</v>
      </c>
      <c r="E39" s="2">
        <v>8</v>
      </c>
      <c r="F39" s="3">
        <v>3</v>
      </c>
      <c r="G39" s="2">
        <v>38</v>
      </c>
      <c r="H39" s="8">
        <v>2</v>
      </c>
      <c r="J39" s="4">
        <v>1</v>
      </c>
      <c r="K39" s="2" t="str">
        <f t="shared" si="0"/>
        <v>resp-inc</v>
      </c>
      <c r="L39" s="2" t="s">
        <v>66</v>
      </c>
      <c r="M39" s="2" t="s">
        <v>33</v>
      </c>
      <c r="N39" t="s">
        <v>66</v>
      </c>
    </row>
    <row r="40" spans="1:14" ht="15" x14ac:dyDescent="0.25">
      <c r="A40" s="2" t="s">
        <v>3</v>
      </c>
      <c r="B40" s="2" t="s">
        <v>100</v>
      </c>
      <c r="C40" s="2" t="s">
        <v>12</v>
      </c>
      <c r="D40" s="2" t="s">
        <v>842</v>
      </c>
      <c r="E40" s="2">
        <v>8</v>
      </c>
      <c r="F40" s="3">
        <v>4</v>
      </c>
      <c r="G40" s="2">
        <v>39</v>
      </c>
      <c r="H40" s="8">
        <v>2</v>
      </c>
      <c r="J40" s="4">
        <v>3</v>
      </c>
      <c r="K40" s="2" t="str">
        <f t="shared" si="0"/>
        <v>resp-inc</v>
      </c>
      <c r="L40" s="2" t="s">
        <v>66</v>
      </c>
      <c r="M40" s="2" t="s">
        <v>797</v>
      </c>
      <c r="N40" t="s">
        <v>66</v>
      </c>
    </row>
    <row r="41" spans="1:14" ht="15" x14ac:dyDescent="0.25">
      <c r="A41" s="2" t="s">
        <v>3</v>
      </c>
      <c r="B41" s="2" t="s">
        <v>100</v>
      </c>
      <c r="C41" s="2" t="s">
        <v>12</v>
      </c>
      <c r="D41" s="2" t="s">
        <v>843</v>
      </c>
      <c r="E41" s="2">
        <v>8</v>
      </c>
      <c r="F41" s="3">
        <v>5</v>
      </c>
      <c r="G41" s="2">
        <v>40</v>
      </c>
      <c r="H41" s="8">
        <v>2</v>
      </c>
      <c r="J41" s="4">
        <v>1</v>
      </c>
      <c r="K41" s="2" t="str">
        <f t="shared" ref="K41" si="1">IF(H41=J41,"resp-correct","resp-inc")</f>
        <v>resp-inc</v>
      </c>
      <c r="L41" s="2" t="s">
        <v>66</v>
      </c>
      <c r="M41" s="2" t="s">
        <v>34</v>
      </c>
      <c r="N41" t="s">
        <v>66</v>
      </c>
    </row>
    <row r="42" spans="1:14" ht="15" x14ac:dyDescent="0.25">
      <c r="A42" s="2" t="s">
        <v>3</v>
      </c>
      <c r="B42" s="2" t="s">
        <v>100</v>
      </c>
      <c r="C42" s="2" t="s">
        <v>12</v>
      </c>
      <c r="D42" s="2" t="s">
        <v>844</v>
      </c>
      <c r="E42" s="2">
        <v>8</v>
      </c>
      <c r="F42" s="3">
        <v>6</v>
      </c>
      <c r="G42" s="2">
        <v>41</v>
      </c>
      <c r="H42" s="8">
        <v>2</v>
      </c>
      <c r="J42" s="4">
        <v>4</v>
      </c>
      <c r="K42" s="2" t="str">
        <f t="shared" ref="K42" si="2">IF(H42=J42,"resp-correct","resp-inc")</f>
        <v>resp-inc</v>
      </c>
      <c r="L42" s="2" t="s">
        <v>66</v>
      </c>
      <c r="M42" s="2" t="s">
        <v>33</v>
      </c>
      <c r="N42" t="s">
        <v>66</v>
      </c>
    </row>
    <row r="43" spans="1:14" ht="15" x14ac:dyDescent="0.25">
      <c r="A43" s="2" t="s">
        <v>3</v>
      </c>
      <c r="B43" s="2" t="s">
        <v>100</v>
      </c>
      <c r="C43" s="2" t="s">
        <v>99</v>
      </c>
      <c r="D43" s="2" t="s">
        <v>845</v>
      </c>
      <c r="E43" s="2">
        <v>9</v>
      </c>
      <c r="F43" s="3">
        <v>1</v>
      </c>
      <c r="G43" s="2">
        <v>42</v>
      </c>
      <c r="H43" s="8">
        <v>2</v>
      </c>
      <c r="J43" s="4">
        <v>3</v>
      </c>
      <c r="K43" s="2" t="str">
        <f t="shared" ref="K43" si="3">IF(H43=J43,"resp-correct","resp-inc")</f>
        <v>resp-inc</v>
      </c>
      <c r="L43" s="2" t="s">
        <v>66</v>
      </c>
      <c r="M43" s="2" t="s">
        <v>70</v>
      </c>
      <c r="N43" t="s">
        <v>66</v>
      </c>
    </row>
    <row r="44" spans="1:14" ht="15" x14ac:dyDescent="0.25">
      <c r="A44" s="2" t="s">
        <v>3</v>
      </c>
      <c r="B44" s="2" t="s">
        <v>100</v>
      </c>
      <c r="C44" s="2" t="s">
        <v>99</v>
      </c>
      <c r="D44" s="2" t="s">
        <v>846</v>
      </c>
      <c r="E44" s="2">
        <v>9</v>
      </c>
      <c r="F44" s="3">
        <v>2</v>
      </c>
      <c r="G44" s="2">
        <v>43</v>
      </c>
      <c r="H44" s="8">
        <v>2</v>
      </c>
      <c r="J44" s="4">
        <v>2</v>
      </c>
      <c r="K44" s="2" t="str">
        <f t="shared" ref="K44:K45" si="4">IF(H44=J44,"resp-correct","resp-inc")</f>
        <v>resp-correct</v>
      </c>
      <c r="L44" s="2" t="s">
        <v>66</v>
      </c>
      <c r="M44" s="2" t="s">
        <v>70</v>
      </c>
      <c r="N44" t="s">
        <v>66</v>
      </c>
    </row>
    <row r="45" spans="1:14" ht="15" x14ac:dyDescent="0.25">
      <c r="A45" s="2" t="s">
        <v>3</v>
      </c>
      <c r="B45" s="2" t="s">
        <v>100</v>
      </c>
      <c r="C45" s="2" t="s">
        <v>99</v>
      </c>
      <c r="D45" s="2" t="s">
        <v>847</v>
      </c>
      <c r="E45" s="2">
        <v>9</v>
      </c>
      <c r="F45" s="3">
        <v>3</v>
      </c>
      <c r="G45" s="2">
        <v>44</v>
      </c>
      <c r="H45" s="8">
        <v>2</v>
      </c>
      <c r="J45" s="4">
        <v>1</v>
      </c>
      <c r="K45" s="2" t="str">
        <f t="shared" si="4"/>
        <v>resp-inc</v>
      </c>
      <c r="L45" s="2" t="s">
        <v>66</v>
      </c>
      <c r="M45" s="2" t="s">
        <v>70</v>
      </c>
      <c r="N45" t="s">
        <v>66</v>
      </c>
    </row>
    <row r="46" spans="1:14" ht="15" x14ac:dyDescent="0.25">
      <c r="A46" s="2" t="s">
        <v>3</v>
      </c>
      <c r="B46" s="2" t="s">
        <v>100</v>
      </c>
      <c r="C46" s="2" t="s">
        <v>99</v>
      </c>
      <c r="D46" s="2" t="s">
        <v>848</v>
      </c>
      <c r="E46" s="2">
        <v>9</v>
      </c>
      <c r="F46" s="3">
        <v>4</v>
      </c>
      <c r="G46" s="2">
        <v>45</v>
      </c>
      <c r="H46" s="8">
        <v>2</v>
      </c>
      <c r="J46" s="4">
        <v>4</v>
      </c>
      <c r="K46" s="2" t="str">
        <f t="shared" ref="K46:K47" si="5">IF(H46=J46,"resp-correct","resp-inc")</f>
        <v>resp-inc</v>
      </c>
      <c r="L46" s="2" t="s">
        <v>66</v>
      </c>
      <c r="M46" s="2" t="s">
        <v>70</v>
      </c>
      <c r="N46" t="s">
        <v>66</v>
      </c>
    </row>
    <row r="47" spans="1:14" ht="15" x14ac:dyDescent="0.25">
      <c r="A47" s="2" t="s">
        <v>3</v>
      </c>
      <c r="B47" s="2" t="s">
        <v>100</v>
      </c>
      <c r="C47" s="2" t="s">
        <v>99</v>
      </c>
      <c r="D47" s="2" t="s">
        <v>849</v>
      </c>
      <c r="E47" s="2">
        <v>9</v>
      </c>
      <c r="F47" s="3">
        <v>5</v>
      </c>
      <c r="G47" s="2">
        <v>46</v>
      </c>
      <c r="H47" s="8">
        <v>2</v>
      </c>
      <c r="J47" s="4">
        <v>4</v>
      </c>
      <c r="K47" s="2" t="str">
        <f t="shared" si="5"/>
        <v>resp-inc</v>
      </c>
      <c r="L47" s="2" t="s">
        <v>66</v>
      </c>
      <c r="M47" s="2" t="s">
        <v>70</v>
      </c>
      <c r="N47" t="s">
        <v>66</v>
      </c>
    </row>
    <row r="48" spans="1:14" ht="15" x14ac:dyDescent="0.25">
      <c r="A48" s="2" t="s">
        <v>3</v>
      </c>
      <c r="B48" s="2" t="s">
        <v>100</v>
      </c>
      <c r="C48" s="2" t="s">
        <v>99</v>
      </c>
      <c r="D48" s="2" t="s">
        <v>850</v>
      </c>
      <c r="E48" s="2">
        <v>9</v>
      </c>
      <c r="F48" s="3">
        <v>6</v>
      </c>
      <c r="G48" s="2">
        <v>47</v>
      </c>
      <c r="H48" s="8">
        <v>2</v>
      </c>
      <c r="J48" s="4">
        <v>1</v>
      </c>
      <c r="K48" s="2" t="str">
        <f t="shared" ref="K48:K52" si="6">IF(H48=J48,"resp-correct","resp-inc")</f>
        <v>resp-inc</v>
      </c>
      <c r="L48" s="2" t="s">
        <v>66</v>
      </c>
      <c r="M48" s="2" t="s">
        <v>34</v>
      </c>
      <c r="N48" t="s">
        <v>66</v>
      </c>
    </row>
    <row r="49" spans="1:14" ht="15" x14ac:dyDescent="0.25">
      <c r="A49" s="2" t="s">
        <v>3</v>
      </c>
      <c r="B49" s="2" t="s">
        <v>100</v>
      </c>
      <c r="C49" s="2" t="s">
        <v>6</v>
      </c>
      <c r="D49" s="2" t="s">
        <v>851</v>
      </c>
      <c r="E49" s="2">
        <v>10</v>
      </c>
      <c r="F49" s="3">
        <v>1</v>
      </c>
      <c r="G49" s="2">
        <v>48</v>
      </c>
      <c r="H49" s="8">
        <v>2</v>
      </c>
      <c r="J49" s="4">
        <v>2</v>
      </c>
      <c r="K49" s="2" t="str">
        <f t="shared" si="6"/>
        <v>resp-correct</v>
      </c>
      <c r="L49" s="2" t="s">
        <v>66</v>
      </c>
      <c r="M49" s="2" t="s">
        <v>797</v>
      </c>
      <c r="N49" t="s">
        <v>66</v>
      </c>
    </row>
    <row r="50" spans="1:14" ht="15" x14ac:dyDescent="0.25">
      <c r="A50" s="2" t="s">
        <v>3</v>
      </c>
      <c r="B50" s="2" t="s">
        <v>100</v>
      </c>
      <c r="C50" s="2" t="s">
        <v>6</v>
      </c>
      <c r="D50" s="2" t="s">
        <v>852</v>
      </c>
      <c r="E50" s="2">
        <v>10</v>
      </c>
      <c r="F50" s="3">
        <v>2</v>
      </c>
      <c r="G50" s="2">
        <v>49</v>
      </c>
      <c r="H50" s="8">
        <v>2</v>
      </c>
      <c r="J50" s="4">
        <v>1</v>
      </c>
      <c r="K50" s="2" t="str">
        <f t="shared" si="6"/>
        <v>resp-inc</v>
      </c>
      <c r="L50" s="2" t="s">
        <v>66</v>
      </c>
      <c r="M50" s="2" t="s">
        <v>37</v>
      </c>
      <c r="N50" t="s">
        <v>66</v>
      </c>
    </row>
    <row r="51" spans="1:14" ht="15" x14ac:dyDescent="0.25">
      <c r="A51" s="2" t="s">
        <v>3</v>
      </c>
      <c r="B51" s="2" t="s">
        <v>100</v>
      </c>
      <c r="C51" s="2" t="s">
        <v>6</v>
      </c>
      <c r="D51" s="2" t="s">
        <v>853</v>
      </c>
      <c r="E51" s="2">
        <v>10</v>
      </c>
      <c r="F51" s="3">
        <v>3</v>
      </c>
      <c r="G51" s="2">
        <v>50</v>
      </c>
      <c r="H51" s="8">
        <v>2</v>
      </c>
      <c r="J51" s="4">
        <v>4</v>
      </c>
      <c r="K51" s="2" t="str">
        <f t="shared" si="6"/>
        <v>resp-inc</v>
      </c>
      <c r="L51" s="2" t="s">
        <v>66</v>
      </c>
      <c r="M51" s="2" t="s">
        <v>798</v>
      </c>
      <c r="N51" t="s">
        <v>66</v>
      </c>
    </row>
    <row r="52" spans="1:14" ht="15" x14ac:dyDescent="0.25">
      <c r="A52" s="2" t="s">
        <v>3</v>
      </c>
      <c r="B52" s="2" t="s">
        <v>100</v>
      </c>
      <c r="C52" s="2" t="s">
        <v>6</v>
      </c>
      <c r="D52" s="2" t="s">
        <v>854</v>
      </c>
      <c r="E52" s="2">
        <v>10</v>
      </c>
      <c r="F52" s="3">
        <v>4</v>
      </c>
      <c r="G52" s="2">
        <v>51</v>
      </c>
      <c r="H52" s="8">
        <v>2</v>
      </c>
      <c r="J52" s="4">
        <v>3</v>
      </c>
      <c r="K52" s="2" t="str">
        <f t="shared" si="6"/>
        <v>resp-inc</v>
      </c>
      <c r="L52" s="2" t="s">
        <v>66</v>
      </c>
      <c r="M52" s="2" t="s">
        <v>34</v>
      </c>
      <c r="N52" t="s">
        <v>66</v>
      </c>
    </row>
    <row r="53" spans="1:14" ht="15" x14ac:dyDescent="0.25">
      <c r="A53" s="2" t="s">
        <v>3</v>
      </c>
      <c r="B53" s="2" t="s">
        <v>100</v>
      </c>
      <c r="C53" s="2" t="s">
        <v>6</v>
      </c>
      <c r="D53" s="2" t="s">
        <v>855</v>
      </c>
      <c r="E53" s="2">
        <v>10</v>
      </c>
      <c r="F53" s="3">
        <v>5</v>
      </c>
      <c r="G53" s="2">
        <v>52</v>
      </c>
      <c r="H53" s="8">
        <v>2</v>
      </c>
      <c r="J53" s="4">
        <v>2</v>
      </c>
      <c r="K53" s="2" t="str">
        <f t="shared" ref="K53" si="7">IF(H53=J53,"resp-correct","resp-inc")</f>
        <v>resp-correct</v>
      </c>
      <c r="L53" s="2" t="s">
        <v>66</v>
      </c>
      <c r="M53" s="2" t="s">
        <v>796</v>
      </c>
      <c r="N53" t="s">
        <v>66</v>
      </c>
    </row>
    <row r="54" spans="1:14" ht="15" x14ac:dyDescent="0.25">
      <c r="A54" s="2" t="s">
        <v>4</v>
      </c>
      <c r="B54" s="2" t="s">
        <v>101</v>
      </c>
      <c r="C54" s="2" t="s">
        <v>7</v>
      </c>
      <c r="D54" s="2" t="s">
        <v>856</v>
      </c>
      <c r="E54" s="2">
        <v>1</v>
      </c>
      <c r="F54" s="3">
        <v>1</v>
      </c>
      <c r="G54" s="2">
        <v>1</v>
      </c>
      <c r="H54" s="8">
        <v>2</v>
      </c>
      <c r="J54" s="4">
        <v>2</v>
      </c>
      <c r="K54" s="2" t="str">
        <f t="shared" si="0"/>
        <v>resp-correct</v>
      </c>
      <c r="L54" s="2" t="s">
        <v>66</v>
      </c>
      <c r="M54" s="2" t="s">
        <v>45</v>
      </c>
      <c r="N54" t="s">
        <v>66</v>
      </c>
    </row>
    <row r="55" spans="1:14" ht="15" x14ac:dyDescent="0.25">
      <c r="A55" s="2" t="s">
        <v>4</v>
      </c>
      <c r="B55" s="2" t="s">
        <v>101</v>
      </c>
      <c r="C55" s="2" t="s">
        <v>7</v>
      </c>
      <c r="D55" s="2" t="s">
        <v>857</v>
      </c>
      <c r="E55" s="2">
        <v>1</v>
      </c>
      <c r="F55" s="3">
        <v>2</v>
      </c>
      <c r="G55" s="2">
        <v>2</v>
      </c>
      <c r="H55" s="8">
        <v>3</v>
      </c>
      <c r="J55" s="4">
        <v>1</v>
      </c>
      <c r="K55" s="2" t="str">
        <f t="shared" si="0"/>
        <v>resp-inc</v>
      </c>
      <c r="L55" s="2" t="s">
        <v>66</v>
      </c>
      <c r="M55" s="2" t="s">
        <v>45</v>
      </c>
      <c r="N55" t="s">
        <v>66</v>
      </c>
    </row>
    <row r="56" spans="1:14" ht="15" x14ac:dyDescent="0.25">
      <c r="A56" s="2" t="s">
        <v>4</v>
      </c>
      <c r="B56" s="2" t="s">
        <v>101</v>
      </c>
      <c r="C56" s="2" t="s">
        <v>7</v>
      </c>
      <c r="D56" s="2" t="s">
        <v>858</v>
      </c>
      <c r="E56" s="2">
        <v>1</v>
      </c>
      <c r="F56" s="3">
        <v>3</v>
      </c>
      <c r="G56" s="2">
        <v>3</v>
      </c>
      <c r="H56" s="8">
        <v>3</v>
      </c>
      <c r="J56" s="4">
        <v>3</v>
      </c>
      <c r="K56" s="2" t="str">
        <f t="shared" si="0"/>
        <v>resp-correct</v>
      </c>
      <c r="L56" s="2" t="s">
        <v>66</v>
      </c>
      <c r="M56" s="2" t="s">
        <v>41</v>
      </c>
      <c r="N56" t="s">
        <v>66</v>
      </c>
    </row>
    <row r="57" spans="1:14" ht="15" x14ac:dyDescent="0.25">
      <c r="A57" s="2" t="s">
        <v>4</v>
      </c>
      <c r="B57" s="2" t="s">
        <v>101</v>
      </c>
      <c r="C57" s="2" t="s">
        <v>7</v>
      </c>
      <c r="D57" s="2" t="s">
        <v>859</v>
      </c>
      <c r="E57" s="2">
        <v>1</v>
      </c>
      <c r="F57" s="3">
        <v>4</v>
      </c>
      <c r="G57" s="2">
        <v>4</v>
      </c>
      <c r="H57" s="8">
        <v>3</v>
      </c>
      <c r="J57" s="4">
        <v>3</v>
      </c>
      <c r="K57" s="2" t="str">
        <f t="shared" si="0"/>
        <v>resp-correct</v>
      </c>
      <c r="L57" s="2" t="s">
        <v>66</v>
      </c>
      <c r="M57" s="2" t="s">
        <v>42</v>
      </c>
      <c r="N57" t="s">
        <v>66</v>
      </c>
    </row>
    <row r="58" spans="1:14" ht="15" x14ac:dyDescent="0.25">
      <c r="A58" s="2" t="s">
        <v>4</v>
      </c>
      <c r="B58" s="2" t="s">
        <v>101</v>
      </c>
      <c r="C58" s="2" t="s">
        <v>7</v>
      </c>
      <c r="D58" s="2" t="s">
        <v>860</v>
      </c>
      <c r="E58" s="2">
        <v>1</v>
      </c>
      <c r="F58" s="3">
        <v>5</v>
      </c>
      <c r="G58" s="2">
        <v>5</v>
      </c>
      <c r="H58" s="8">
        <v>3</v>
      </c>
      <c r="J58" s="4">
        <v>4</v>
      </c>
      <c r="K58" s="2" t="str">
        <f t="shared" si="0"/>
        <v>resp-inc</v>
      </c>
      <c r="L58" s="2" t="s">
        <v>66</v>
      </c>
      <c r="M58" s="2" t="s">
        <v>45</v>
      </c>
      <c r="N58" t="s">
        <v>66</v>
      </c>
    </row>
    <row r="59" spans="1:14" ht="15" x14ac:dyDescent="0.25">
      <c r="A59" s="2" t="s">
        <v>4</v>
      </c>
      <c r="B59" s="2" t="s">
        <v>101</v>
      </c>
      <c r="C59" s="2" t="s">
        <v>8</v>
      </c>
      <c r="D59" s="2" t="s">
        <v>861</v>
      </c>
      <c r="E59" s="2">
        <v>2</v>
      </c>
      <c r="F59" s="3">
        <v>1</v>
      </c>
      <c r="G59" s="2">
        <v>6</v>
      </c>
      <c r="H59" s="8">
        <v>3</v>
      </c>
      <c r="J59" s="4">
        <v>4</v>
      </c>
      <c r="K59" s="2" t="str">
        <f t="shared" si="0"/>
        <v>resp-inc</v>
      </c>
      <c r="L59" s="2" t="s">
        <v>66</v>
      </c>
      <c r="M59" s="2" t="s">
        <v>41</v>
      </c>
      <c r="N59" t="s">
        <v>66</v>
      </c>
    </row>
    <row r="60" spans="1:14" ht="15" x14ac:dyDescent="0.25">
      <c r="A60" s="2" t="s">
        <v>4</v>
      </c>
      <c r="B60" s="2" t="s">
        <v>101</v>
      </c>
      <c r="C60" s="2" t="s">
        <v>8</v>
      </c>
      <c r="D60" s="2" t="s">
        <v>862</v>
      </c>
      <c r="E60" s="2">
        <v>2</v>
      </c>
      <c r="F60" s="3">
        <v>2</v>
      </c>
      <c r="G60" s="2">
        <v>7</v>
      </c>
      <c r="H60" s="8">
        <v>3</v>
      </c>
      <c r="J60" s="4">
        <v>1</v>
      </c>
      <c r="K60" s="2" t="str">
        <f t="shared" si="0"/>
        <v>resp-inc</v>
      </c>
      <c r="L60" s="2" t="s">
        <v>66</v>
      </c>
      <c r="M60" s="2" t="s">
        <v>41</v>
      </c>
      <c r="N60" t="s">
        <v>66</v>
      </c>
    </row>
    <row r="61" spans="1:14" ht="15" x14ac:dyDescent="0.25">
      <c r="A61" s="2" t="s">
        <v>4</v>
      </c>
      <c r="B61" s="2" t="s">
        <v>101</v>
      </c>
      <c r="C61" s="2" t="s">
        <v>8</v>
      </c>
      <c r="D61" s="2" t="s">
        <v>863</v>
      </c>
      <c r="E61" s="2">
        <v>2</v>
      </c>
      <c r="F61" s="3">
        <v>3</v>
      </c>
      <c r="G61" s="2">
        <v>8</v>
      </c>
      <c r="H61" s="8">
        <v>4</v>
      </c>
      <c r="J61" s="4">
        <v>4</v>
      </c>
      <c r="K61" s="2" t="str">
        <f t="shared" si="0"/>
        <v>resp-correct</v>
      </c>
      <c r="L61" s="2" t="s">
        <v>66</v>
      </c>
      <c r="M61" s="2" t="s">
        <v>45</v>
      </c>
      <c r="N61" t="s">
        <v>66</v>
      </c>
    </row>
    <row r="62" spans="1:14" ht="15" x14ac:dyDescent="0.25">
      <c r="A62" s="2" t="s">
        <v>4</v>
      </c>
      <c r="B62" s="2" t="s">
        <v>101</v>
      </c>
      <c r="C62" s="2" t="s">
        <v>8</v>
      </c>
      <c r="D62" s="2" t="s">
        <v>864</v>
      </c>
      <c r="E62" s="2">
        <v>2</v>
      </c>
      <c r="F62" s="3">
        <v>4</v>
      </c>
      <c r="G62" s="2">
        <v>9</v>
      </c>
      <c r="H62" s="8">
        <v>4</v>
      </c>
      <c r="J62" s="4">
        <v>4</v>
      </c>
      <c r="K62" s="2" t="str">
        <f t="shared" si="0"/>
        <v>resp-correct</v>
      </c>
      <c r="L62" s="2" t="s">
        <v>66</v>
      </c>
      <c r="M62" s="2" t="s">
        <v>45</v>
      </c>
      <c r="N62" t="s">
        <v>66</v>
      </c>
    </row>
    <row r="63" spans="1:14" ht="15" x14ac:dyDescent="0.25">
      <c r="A63" s="2" t="s">
        <v>4</v>
      </c>
      <c r="B63" s="2" t="s">
        <v>101</v>
      </c>
      <c r="C63" s="2" t="s">
        <v>8</v>
      </c>
      <c r="D63" s="2" t="s">
        <v>865</v>
      </c>
      <c r="E63" s="2">
        <v>2</v>
      </c>
      <c r="F63" s="3">
        <v>5</v>
      </c>
      <c r="G63" s="2">
        <v>10</v>
      </c>
      <c r="H63" s="8">
        <v>4</v>
      </c>
      <c r="J63" s="4">
        <v>4</v>
      </c>
      <c r="K63" s="2" t="str">
        <f t="shared" si="0"/>
        <v>resp-correct</v>
      </c>
      <c r="L63" s="2" t="s">
        <v>66</v>
      </c>
      <c r="M63" s="2" t="s">
        <v>45</v>
      </c>
      <c r="N63" t="s">
        <v>66</v>
      </c>
    </row>
    <row r="64" spans="1:14" x14ac:dyDescent="0.2">
      <c r="A64" s="2" t="s">
        <v>4</v>
      </c>
      <c r="B64" s="2" t="s">
        <v>101</v>
      </c>
      <c r="C64" s="2" t="s">
        <v>8</v>
      </c>
      <c r="D64" s="2" t="s">
        <v>866</v>
      </c>
      <c r="E64" s="2">
        <v>2</v>
      </c>
      <c r="F64" s="3">
        <v>6</v>
      </c>
      <c r="G64" s="2">
        <v>11</v>
      </c>
      <c r="H64" s="8">
        <v>4</v>
      </c>
      <c r="J64" s="4">
        <v>4</v>
      </c>
      <c r="K64" s="2" t="str">
        <f t="shared" si="0"/>
        <v>resp-correct</v>
      </c>
      <c r="L64" s="2" t="s">
        <v>66</v>
      </c>
      <c r="M64" s="4" t="s">
        <v>45</v>
      </c>
      <c r="N64" s="4" t="s">
        <v>66</v>
      </c>
    </row>
    <row r="65" spans="1:14" ht="15" x14ac:dyDescent="0.25">
      <c r="A65" s="2" t="s">
        <v>4</v>
      </c>
      <c r="B65" s="2" t="s">
        <v>101</v>
      </c>
      <c r="C65" s="2" t="s">
        <v>9</v>
      </c>
      <c r="D65" s="2" t="s">
        <v>867</v>
      </c>
      <c r="E65" s="2">
        <v>3</v>
      </c>
      <c r="F65" s="3">
        <v>1</v>
      </c>
      <c r="G65" s="2">
        <v>12</v>
      </c>
      <c r="H65" s="8">
        <v>4</v>
      </c>
      <c r="J65" s="4">
        <v>2</v>
      </c>
      <c r="K65" s="2" t="str">
        <f t="shared" si="0"/>
        <v>resp-inc</v>
      </c>
      <c r="L65" s="2" t="s">
        <v>66</v>
      </c>
      <c r="M65" s="2" t="s">
        <v>41</v>
      </c>
      <c r="N65" t="s">
        <v>66</v>
      </c>
    </row>
    <row r="66" spans="1:14" ht="15" x14ac:dyDescent="0.25">
      <c r="A66" s="2" t="s">
        <v>4</v>
      </c>
      <c r="B66" s="2" t="s">
        <v>101</v>
      </c>
      <c r="C66" s="2" t="s">
        <v>9</v>
      </c>
      <c r="D66" s="2" t="s">
        <v>868</v>
      </c>
      <c r="E66" s="2">
        <v>3</v>
      </c>
      <c r="F66" s="3">
        <v>2</v>
      </c>
      <c r="G66" s="2">
        <v>13</v>
      </c>
      <c r="H66" s="8">
        <v>1</v>
      </c>
      <c r="J66" s="4">
        <v>1</v>
      </c>
      <c r="K66" s="2" t="str">
        <f t="shared" si="0"/>
        <v>resp-correct</v>
      </c>
      <c r="L66" s="2" t="s">
        <v>66</v>
      </c>
      <c r="M66" s="2" t="s">
        <v>41</v>
      </c>
      <c r="N66" t="s">
        <v>66</v>
      </c>
    </row>
    <row r="67" spans="1:14" ht="15" x14ac:dyDescent="0.25">
      <c r="A67" s="2" t="s">
        <v>4</v>
      </c>
      <c r="B67" s="2" t="s">
        <v>101</v>
      </c>
      <c r="C67" s="2" t="s">
        <v>9</v>
      </c>
      <c r="D67" s="2" t="s">
        <v>869</v>
      </c>
      <c r="E67" s="2">
        <v>3</v>
      </c>
      <c r="F67" s="3">
        <v>3</v>
      </c>
      <c r="G67" s="2">
        <v>14</v>
      </c>
      <c r="H67" s="8">
        <v>1</v>
      </c>
      <c r="J67" s="4">
        <v>2</v>
      </c>
      <c r="K67" s="2" t="str">
        <f t="shared" si="0"/>
        <v>resp-inc</v>
      </c>
      <c r="L67" s="2" t="s">
        <v>66</v>
      </c>
      <c r="M67" s="2" t="s">
        <v>45</v>
      </c>
      <c r="N67" t="s">
        <v>66</v>
      </c>
    </row>
    <row r="68" spans="1:14" ht="15" x14ac:dyDescent="0.25">
      <c r="A68" s="2" t="s">
        <v>4</v>
      </c>
      <c r="B68" s="2" t="s">
        <v>101</v>
      </c>
      <c r="C68" s="2" t="s">
        <v>9</v>
      </c>
      <c r="D68" s="2" t="s">
        <v>870</v>
      </c>
      <c r="E68" s="2">
        <v>3</v>
      </c>
      <c r="F68" s="3">
        <v>4</v>
      </c>
      <c r="G68" s="2">
        <v>15</v>
      </c>
      <c r="H68" s="8">
        <v>1</v>
      </c>
      <c r="J68" s="4">
        <v>2</v>
      </c>
      <c r="K68" s="2" t="str">
        <f t="shared" si="0"/>
        <v>resp-inc</v>
      </c>
      <c r="L68" s="2" t="s">
        <v>66</v>
      </c>
      <c r="M68" s="2" t="s">
        <v>45</v>
      </c>
      <c r="N68" t="s">
        <v>66</v>
      </c>
    </row>
    <row r="69" spans="1:14" ht="15" x14ac:dyDescent="0.25">
      <c r="A69" s="2" t="s">
        <v>4</v>
      </c>
      <c r="B69" s="2" t="s">
        <v>101</v>
      </c>
      <c r="C69" s="2" t="s">
        <v>9</v>
      </c>
      <c r="D69" s="2" t="s">
        <v>871</v>
      </c>
      <c r="E69" s="2">
        <v>3</v>
      </c>
      <c r="F69" s="3">
        <v>5</v>
      </c>
      <c r="G69" s="2">
        <v>16</v>
      </c>
      <c r="H69" s="8">
        <v>1</v>
      </c>
      <c r="J69" s="4">
        <v>3</v>
      </c>
      <c r="K69" s="2" t="str">
        <f t="shared" si="0"/>
        <v>resp-inc</v>
      </c>
      <c r="L69" s="2" t="s">
        <v>66</v>
      </c>
      <c r="M69" s="2" t="s">
        <v>41</v>
      </c>
      <c r="N69" t="s">
        <v>66</v>
      </c>
    </row>
    <row r="70" spans="1:14" ht="15" x14ac:dyDescent="0.25">
      <c r="A70" s="2" t="s">
        <v>4</v>
      </c>
      <c r="B70" s="2" t="s">
        <v>101</v>
      </c>
      <c r="C70" s="2" t="s">
        <v>9</v>
      </c>
      <c r="D70" s="2" t="s">
        <v>872</v>
      </c>
      <c r="E70" s="2">
        <v>3</v>
      </c>
      <c r="F70" s="3">
        <v>6</v>
      </c>
      <c r="G70" s="2">
        <v>17</v>
      </c>
      <c r="H70" s="8">
        <v>2</v>
      </c>
      <c r="J70" s="4">
        <v>2</v>
      </c>
      <c r="K70" s="2" t="str">
        <f t="shared" si="0"/>
        <v>resp-correct</v>
      </c>
      <c r="L70" s="2" t="s">
        <v>66</v>
      </c>
      <c r="M70" s="2" t="s">
        <v>41</v>
      </c>
      <c r="N70" t="s">
        <v>66</v>
      </c>
    </row>
    <row r="71" spans="1:14" ht="15" x14ac:dyDescent="0.25">
      <c r="A71" s="2" t="s">
        <v>4</v>
      </c>
      <c r="B71" s="2" t="s">
        <v>101</v>
      </c>
      <c r="C71" s="2" t="s">
        <v>10</v>
      </c>
      <c r="D71" s="2" t="s">
        <v>873</v>
      </c>
      <c r="E71" s="2">
        <v>4</v>
      </c>
      <c r="F71" s="3">
        <v>1</v>
      </c>
      <c r="G71" s="2">
        <v>18</v>
      </c>
      <c r="H71" s="8">
        <v>2</v>
      </c>
      <c r="J71" s="4">
        <v>2</v>
      </c>
      <c r="K71" s="2" t="str">
        <f t="shared" si="0"/>
        <v>resp-correct</v>
      </c>
      <c r="L71" s="2" t="s">
        <v>66</v>
      </c>
      <c r="M71" s="2" t="s">
        <v>43</v>
      </c>
      <c r="N71" t="s">
        <v>66</v>
      </c>
    </row>
    <row r="72" spans="1:14" x14ac:dyDescent="0.2">
      <c r="A72" s="2" t="s">
        <v>4</v>
      </c>
      <c r="B72" s="2" t="s">
        <v>101</v>
      </c>
      <c r="C72" s="2" t="s">
        <v>10</v>
      </c>
      <c r="D72" s="2" t="s">
        <v>874</v>
      </c>
      <c r="E72" s="2">
        <v>4</v>
      </c>
      <c r="F72" s="3">
        <v>2</v>
      </c>
      <c r="G72" s="2">
        <v>19</v>
      </c>
      <c r="H72" s="8">
        <v>2</v>
      </c>
      <c r="J72" s="4">
        <v>1</v>
      </c>
      <c r="K72" s="2" t="str">
        <f t="shared" si="0"/>
        <v>resp-inc</v>
      </c>
      <c r="L72" s="2" t="s">
        <v>66</v>
      </c>
      <c r="M72" s="4" t="s">
        <v>45</v>
      </c>
      <c r="N72" s="4" t="s">
        <v>66</v>
      </c>
    </row>
    <row r="73" spans="1:14" ht="15" x14ac:dyDescent="0.25">
      <c r="A73" s="2" t="s">
        <v>4</v>
      </c>
      <c r="B73" s="2" t="s">
        <v>101</v>
      </c>
      <c r="C73" s="2" t="s">
        <v>10</v>
      </c>
      <c r="D73" s="2" t="s">
        <v>875</v>
      </c>
      <c r="E73" s="2">
        <v>4</v>
      </c>
      <c r="F73" s="3">
        <v>3</v>
      </c>
      <c r="G73" s="2">
        <v>20</v>
      </c>
      <c r="H73" s="8">
        <v>2</v>
      </c>
      <c r="J73" s="4">
        <v>3</v>
      </c>
      <c r="K73" s="2" t="str">
        <f t="shared" si="0"/>
        <v>resp-inc</v>
      </c>
      <c r="L73" s="2" t="s">
        <v>66</v>
      </c>
      <c r="M73" s="2" t="s">
        <v>45</v>
      </c>
      <c r="N73" t="s">
        <v>66</v>
      </c>
    </row>
    <row r="74" spans="1:14" ht="15" x14ac:dyDescent="0.25">
      <c r="A74" s="2" t="s">
        <v>4</v>
      </c>
      <c r="B74" s="2" t="s">
        <v>101</v>
      </c>
      <c r="C74" s="2" t="s">
        <v>10</v>
      </c>
      <c r="D74" s="2" t="s">
        <v>876</v>
      </c>
      <c r="E74" s="2">
        <v>4</v>
      </c>
      <c r="F74" s="3">
        <v>4</v>
      </c>
      <c r="G74" s="2">
        <v>21</v>
      </c>
      <c r="H74" s="8">
        <v>2</v>
      </c>
      <c r="J74" s="4">
        <v>2</v>
      </c>
      <c r="K74" s="2" t="str">
        <f t="shared" si="0"/>
        <v>resp-correct</v>
      </c>
      <c r="L74" s="2" t="s">
        <v>66</v>
      </c>
      <c r="M74" s="2" t="s">
        <v>41</v>
      </c>
      <c r="N74" t="s">
        <v>66</v>
      </c>
    </row>
    <row r="75" spans="1:14" x14ac:dyDescent="0.2">
      <c r="A75" s="2" t="s">
        <v>4</v>
      </c>
      <c r="B75" s="2" t="s">
        <v>101</v>
      </c>
      <c r="C75" s="2" t="s">
        <v>10</v>
      </c>
      <c r="D75" s="2" t="s">
        <v>877</v>
      </c>
      <c r="E75" s="2">
        <v>4</v>
      </c>
      <c r="F75" s="3">
        <v>5</v>
      </c>
      <c r="G75" s="2">
        <v>22</v>
      </c>
      <c r="H75" s="8">
        <v>1</v>
      </c>
      <c r="J75" s="4">
        <v>4</v>
      </c>
      <c r="K75" s="2" t="str">
        <f t="shared" si="0"/>
        <v>resp-inc</v>
      </c>
      <c r="L75" s="2" t="s">
        <v>66</v>
      </c>
      <c r="M75" s="4" t="s">
        <v>45</v>
      </c>
      <c r="N75" s="4" t="s">
        <v>66</v>
      </c>
    </row>
    <row r="76" spans="1:14" ht="15" x14ac:dyDescent="0.25">
      <c r="A76" s="2" t="s">
        <v>4</v>
      </c>
      <c r="B76" s="2" t="s">
        <v>101</v>
      </c>
      <c r="C76" s="2" t="s">
        <v>10</v>
      </c>
      <c r="D76" s="2" t="s">
        <v>878</v>
      </c>
      <c r="E76" s="2">
        <v>4</v>
      </c>
      <c r="F76" s="3">
        <v>6</v>
      </c>
      <c r="G76" s="2">
        <v>23</v>
      </c>
      <c r="H76" s="8">
        <v>2</v>
      </c>
      <c r="J76" s="4">
        <v>1</v>
      </c>
      <c r="K76" s="2" t="str">
        <f t="shared" si="0"/>
        <v>resp-inc</v>
      </c>
      <c r="L76" s="2" t="s">
        <v>66</v>
      </c>
      <c r="M76" s="2" t="s">
        <v>45</v>
      </c>
      <c r="N76" t="s">
        <v>66</v>
      </c>
    </row>
    <row r="77" spans="1:14" x14ac:dyDescent="0.2">
      <c r="A77" s="2" t="s">
        <v>4</v>
      </c>
      <c r="B77" s="2" t="s">
        <v>101</v>
      </c>
      <c r="C77" s="2" t="s">
        <v>11</v>
      </c>
      <c r="D77" s="2" t="s">
        <v>879</v>
      </c>
      <c r="E77" s="2">
        <v>5</v>
      </c>
      <c r="F77" s="3">
        <v>1</v>
      </c>
      <c r="G77" s="2">
        <v>24</v>
      </c>
      <c r="H77" s="8">
        <v>1</v>
      </c>
      <c r="J77" s="4">
        <v>1</v>
      </c>
      <c r="K77" s="2" t="str">
        <f t="shared" si="0"/>
        <v>resp-correct</v>
      </c>
      <c r="L77" s="2" t="s">
        <v>66</v>
      </c>
      <c r="M77" s="4" t="s">
        <v>41</v>
      </c>
      <c r="N77" s="4" t="s">
        <v>66</v>
      </c>
    </row>
    <row r="78" spans="1:14" ht="15" x14ac:dyDescent="0.25">
      <c r="A78" s="2" t="s">
        <v>4</v>
      </c>
      <c r="B78" s="2" t="s">
        <v>101</v>
      </c>
      <c r="C78" s="2" t="s">
        <v>11</v>
      </c>
      <c r="D78" s="2" t="s">
        <v>880</v>
      </c>
      <c r="E78" s="2">
        <v>5</v>
      </c>
      <c r="F78" s="3">
        <v>2</v>
      </c>
      <c r="G78" s="2">
        <v>25</v>
      </c>
      <c r="H78" s="8">
        <v>1</v>
      </c>
      <c r="J78" s="4">
        <v>4</v>
      </c>
      <c r="K78" s="2" t="str">
        <f t="shared" si="0"/>
        <v>resp-inc</v>
      </c>
      <c r="L78" s="2" t="s">
        <v>66</v>
      </c>
      <c r="M78" s="2" t="s">
        <v>45</v>
      </c>
      <c r="N78" t="s">
        <v>66</v>
      </c>
    </row>
    <row r="79" spans="1:14" ht="15" x14ac:dyDescent="0.25">
      <c r="A79" s="2" t="s">
        <v>4</v>
      </c>
      <c r="B79" s="2" t="s">
        <v>101</v>
      </c>
      <c r="C79" s="2" t="s">
        <v>11</v>
      </c>
      <c r="D79" s="2" t="s">
        <v>881</v>
      </c>
      <c r="E79" s="2">
        <v>5</v>
      </c>
      <c r="F79" s="3">
        <v>3</v>
      </c>
      <c r="G79" s="2">
        <v>26</v>
      </c>
      <c r="H79" s="8">
        <v>2</v>
      </c>
      <c r="J79" s="4">
        <v>3</v>
      </c>
      <c r="K79" s="2" t="str">
        <f t="shared" ref="K79:K132" si="8">IF(H79=J79,"resp-correct","resp-inc")</f>
        <v>resp-inc</v>
      </c>
      <c r="L79" s="2" t="s">
        <v>66</v>
      </c>
      <c r="M79" s="2" t="s">
        <v>45</v>
      </c>
      <c r="N79" t="s">
        <v>66</v>
      </c>
    </row>
    <row r="80" spans="1:14" ht="15" x14ac:dyDescent="0.25">
      <c r="A80" s="2" t="s">
        <v>4</v>
      </c>
      <c r="B80" s="2" t="s">
        <v>101</v>
      </c>
      <c r="C80" s="2" t="s">
        <v>11</v>
      </c>
      <c r="D80" s="2" t="s">
        <v>882</v>
      </c>
      <c r="E80" s="2">
        <v>5</v>
      </c>
      <c r="F80" s="3">
        <v>4</v>
      </c>
      <c r="G80" s="2">
        <v>27</v>
      </c>
      <c r="H80" s="8">
        <v>2</v>
      </c>
      <c r="J80" s="4">
        <v>4</v>
      </c>
      <c r="K80" s="2" t="str">
        <f t="shared" si="8"/>
        <v>resp-inc</v>
      </c>
      <c r="L80" s="2" t="s">
        <v>66</v>
      </c>
      <c r="M80" s="2" t="s">
        <v>41</v>
      </c>
      <c r="N80" t="s">
        <v>66</v>
      </c>
    </row>
    <row r="81" spans="1:14" ht="15" x14ac:dyDescent="0.25">
      <c r="A81" s="2" t="s">
        <v>4</v>
      </c>
      <c r="B81" s="2" t="s">
        <v>101</v>
      </c>
      <c r="C81" s="2" t="s">
        <v>11</v>
      </c>
      <c r="D81" s="2" t="s">
        <v>883</v>
      </c>
      <c r="E81" s="2">
        <v>5</v>
      </c>
      <c r="F81" s="3">
        <v>5</v>
      </c>
      <c r="G81" s="2">
        <v>28</v>
      </c>
      <c r="H81" s="8">
        <v>2</v>
      </c>
      <c r="J81" s="4">
        <v>1</v>
      </c>
      <c r="K81" s="2" t="str">
        <f t="shared" si="8"/>
        <v>resp-inc</v>
      </c>
      <c r="L81" s="2" t="s">
        <v>66</v>
      </c>
      <c r="M81" s="2" t="s">
        <v>45</v>
      </c>
      <c r="N81" t="s">
        <v>66</v>
      </c>
    </row>
    <row r="82" spans="1:14" x14ac:dyDescent="0.2">
      <c r="A82" s="2" t="s">
        <v>4</v>
      </c>
      <c r="B82" s="2" t="s">
        <v>101</v>
      </c>
      <c r="C82" s="2" t="s">
        <v>12</v>
      </c>
      <c r="D82" s="2" t="s">
        <v>884</v>
      </c>
      <c r="E82" s="2">
        <v>6</v>
      </c>
      <c r="F82" s="3">
        <v>1</v>
      </c>
      <c r="G82" s="2">
        <v>29</v>
      </c>
      <c r="H82" s="8">
        <v>2</v>
      </c>
      <c r="J82" s="4">
        <v>3</v>
      </c>
      <c r="K82" s="2" t="str">
        <f t="shared" si="8"/>
        <v>resp-inc</v>
      </c>
      <c r="L82" s="2" t="s">
        <v>66</v>
      </c>
      <c r="M82" s="4" t="s">
        <v>43</v>
      </c>
      <c r="N82" s="4" t="s">
        <v>66</v>
      </c>
    </row>
    <row r="83" spans="1:14" ht="15" x14ac:dyDescent="0.25">
      <c r="A83" s="2" t="s">
        <v>4</v>
      </c>
      <c r="B83" s="2" t="s">
        <v>101</v>
      </c>
      <c r="C83" s="2" t="s">
        <v>12</v>
      </c>
      <c r="D83" s="2" t="s">
        <v>885</v>
      </c>
      <c r="E83" s="2">
        <v>6</v>
      </c>
      <c r="F83" s="3">
        <v>2</v>
      </c>
      <c r="G83" s="2">
        <v>30</v>
      </c>
      <c r="H83" s="8">
        <v>2</v>
      </c>
      <c r="J83" s="4">
        <v>3</v>
      </c>
      <c r="K83" s="2" t="str">
        <f t="shared" si="8"/>
        <v>resp-inc</v>
      </c>
      <c r="L83" s="2" t="s">
        <v>66</v>
      </c>
      <c r="M83" s="2" t="s">
        <v>41</v>
      </c>
      <c r="N83" t="s">
        <v>66</v>
      </c>
    </row>
    <row r="84" spans="1:14" ht="15" x14ac:dyDescent="0.25">
      <c r="A84" s="2" t="s">
        <v>4</v>
      </c>
      <c r="B84" s="2" t="s">
        <v>101</v>
      </c>
      <c r="C84" s="2" t="s">
        <v>12</v>
      </c>
      <c r="D84" s="2" t="s">
        <v>886</v>
      </c>
      <c r="E84" s="2">
        <v>6</v>
      </c>
      <c r="F84" s="3">
        <v>3</v>
      </c>
      <c r="G84" s="2">
        <v>31</v>
      </c>
      <c r="H84" s="8">
        <v>2</v>
      </c>
      <c r="J84" s="4">
        <v>4</v>
      </c>
      <c r="K84" s="2" t="str">
        <f t="shared" si="8"/>
        <v>resp-inc</v>
      </c>
      <c r="L84" s="2" t="s">
        <v>66</v>
      </c>
      <c r="M84" s="2" t="s">
        <v>45</v>
      </c>
      <c r="N84" t="s">
        <v>66</v>
      </c>
    </row>
    <row r="85" spans="1:14" x14ac:dyDescent="0.2">
      <c r="A85" s="2" t="s">
        <v>4</v>
      </c>
      <c r="B85" s="2" t="s">
        <v>101</v>
      </c>
      <c r="C85" s="2" t="s">
        <v>12</v>
      </c>
      <c r="D85" s="2" t="s">
        <v>887</v>
      </c>
      <c r="E85" s="2">
        <v>6</v>
      </c>
      <c r="F85" s="3">
        <v>4</v>
      </c>
      <c r="G85" s="2">
        <v>32</v>
      </c>
      <c r="H85" s="8">
        <v>3</v>
      </c>
      <c r="J85" s="4">
        <v>2</v>
      </c>
      <c r="K85" s="2" t="str">
        <f t="shared" si="8"/>
        <v>resp-inc</v>
      </c>
      <c r="L85" s="2" t="s">
        <v>66</v>
      </c>
      <c r="M85" s="4" t="s">
        <v>45</v>
      </c>
      <c r="N85" s="4" t="s">
        <v>66</v>
      </c>
    </row>
    <row r="86" spans="1:14" ht="15" x14ac:dyDescent="0.25">
      <c r="A86" s="2" t="s">
        <v>4</v>
      </c>
      <c r="B86" s="2" t="s">
        <v>101</v>
      </c>
      <c r="C86" s="2" t="s">
        <v>12</v>
      </c>
      <c r="D86" s="2" t="s">
        <v>888</v>
      </c>
      <c r="E86" s="2">
        <v>6</v>
      </c>
      <c r="F86" s="3">
        <v>5</v>
      </c>
      <c r="G86" s="2">
        <v>33</v>
      </c>
      <c r="H86" s="8">
        <v>2</v>
      </c>
      <c r="J86" s="4">
        <v>2</v>
      </c>
      <c r="K86" s="2" t="str">
        <f t="shared" ref="K86:K90" si="9">IF(H86=J86,"resp-correct","resp-inc")</f>
        <v>resp-correct</v>
      </c>
      <c r="L86" s="2" t="s">
        <v>66</v>
      </c>
      <c r="M86" s="2" t="s">
        <v>45</v>
      </c>
      <c r="N86" t="s">
        <v>66</v>
      </c>
    </row>
    <row r="87" spans="1:14" ht="15" x14ac:dyDescent="0.25">
      <c r="A87" s="2" t="s">
        <v>4</v>
      </c>
      <c r="B87" s="2" t="s">
        <v>101</v>
      </c>
      <c r="C87" s="2" t="s">
        <v>12</v>
      </c>
      <c r="D87" s="2" t="s">
        <v>889</v>
      </c>
      <c r="E87" s="2">
        <v>6</v>
      </c>
      <c r="F87" s="3">
        <v>6</v>
      </c>
      <c r="G87" s="2">
        <v>34</v>
      </c>
      <c r="H87" s="8">
        <v>2</v>
      </c>
      <c r="J87" s="4">
        <v>2</v>
      </c>
      <c r="K87" s="2" t="str">
        <f t="shared" si="9"/>
        <v>resp-correct</v>
      </c>
      <c r="L87" s="2" t="s">
        <v>66</v>
      </c>
      <c r="M87" s="2" t="s">
        <v>45</v>
      </c>
      <c r="N87" t="s">
        <v>66</v>
      </c>
    </row>
    <row r="88" spans="1:14" x14ac:dyDescent="0.2">
      <c r="A88" s="2" t="s">
        <v>4</v>
      </c>
      <c r="B88" s="2" t="s">
        <v>101</v>
      </c>
      <c r="C88" s="2" t="s">
        <v>12</v>
      </c>
      <c r="D88" s="2" t="s">
        <v>890</v>
      </c>
      <c r="E88" s="2">
        <v>6</v>
      </c>
      <c r="F88" s="3">
        <v>7</v>
      </c>
      <c r="G88" s="2">
        <v>35</v>
      </c>
      <c r="H88" s="8">
        <v>3</v>
      </c>
      <c r="J88" s="4">
        <v>1</v>
      </c>
      <c r="K88" s="2" t="str">
        <f t="shared" si="9"/>
        <v>resp-inc</v>
      </c>
      <c r="L88" s="2" t="s">
        <v>66</v>
      </c>
      <c r="M88" s="4" t="s">
        <v>45</v>
      </c>
      <c r="N88" s="4" t="s">
        <v>66</v>
      </c>
    </row>
    <row r="89" spans="1:14" ht="15" x14ac:dyDescent="0.25">
      <c r="A89" s="2" t="s">
        <v>4</v>
      </c>
      <c r="B89" s="2" t="s">
        <v>101</v>
      </c>
      <c r="C89" s="2" t="s">
        <v>99</v>
      </c>
      <c r="D89" s="2" t="s">
        <v>891</v>
      </c>
      <c r="E89" s="2">
        <v>7</v>
      </c>
      <c r="F89" s="3">
        <v>1</v>
      </c>
      <c r="G89" s="2">
        <v>36</v>
      </c>
      <c r="H89" s="8">
        <v>2</v>
      </c>
      <c r="J89" s="4">
        <v>2</v>
      </c>
      <c r="K89" s="2" t="str">
        <f t="shared" si="9"/>
        <v>resp-correct</v>
      </c>
      <c r="L89" s="2" t="s">
        <v>66</v>
      </c>
      <c r="M89" s="2" t="s">
        <v>41</v>
      </c>
      <c r="N89" t="s">
        <v>66</v>
      </c>
    </row>
    <row r="90" spans="1:14" x14ac:dyDescent="0.2">
      <c r="A90" s="2" t="s">
        <v>4</v>
      </c>
      <c r="B90" s="2" t="s">
        <v>101</v>
      </c>
      <c r="C90" s="2" t="s">
        <v>99</v>
      </c>
      <c r="D90" s="2" t="s">
        <v>892</v>
      </c>
      <c r="E90" s="2">
        <v>7</v>
      </c>
      <c r="F90" s="3">
        <v>2</v>
      </c>
      <c r="G90" s="2">
        <v>37</v>
      </c>
      <c r="H90" s="8">
        <v>3</v>
      </c>
      <c r="J90" s="4">
        <v>2</v>
      </c>
      <c r="K90" s="2" t="str">
        <f t="shared" si="9"/>
        <v>resp-inc</v>
      </c>
      <c r="L90" s="2" t="s">
        <v>66</v>
      </c>
      <c r="M90" s="4" t="s">
        <v>44</v>
      </c>
      <c r="N90" s="4" t="s">
        <v>66</v>
      </c>
    </row>
    <row r="91" spans="1:14" ht="15" x14ac:dyDescent="0.25">
      <c r="A91" s="2" t="s">
        <v>4</v>
      </c>
      <c r="B91" s="2" t="s">
        <v>101</v>
      </c>
      <c r="C91" s="2" t="s">
        <v>99</v>
      </c>
      <c r="D91" s="2" t="s">
        <v>893</v>
      </c>
      <c r="E91" s="2">
        <v>7</v>
      </c>
      <c r="F91" s="3">
        <v>3</v>
      </c>
      <c r="G91" s="2">
        <v>38</v>
      </c>
      <c r="H91" s="8">
        <v>2</v>
      </c>
      <c r="J91" s="4">
        <v>1</v>
      </c>
      <c r="K91" s="2" t="str">
        <f t="shared" ref="K91:K93" si="10">IF(H91=J91,"resp-correct","resp-inc")</f>
        <v>resp-inc</v>
      </c>
      <c r="L91" s="2" t="s">
        <v>66</v>
      </c>
      <c r="M91" s="2" t="s">
        <v>41</v>
      </c>
      <c r="N91" t="s">
        <v>66</v>
      </c>
    </row>
    <row r="92" spans="1:14" ht="15" x14ac:dyDescent="0.25">
      <c r="A92" s="2" t="s">
        <v>4</v>
      </c>
      <c r="B92" s="2" t="s">
        <v>101</v>
      </c>
      <c r="C92" s="2" t="s">
        <v>99</v>
      </c>
      <c r="D92" s="2" t="s">
        <v>894</v>
      </c>
      <c r="E92" s="2">
        <v>7</v>
      </c>
      <c r="F92" s="3">
        <v>4</v>
      </c>
      <c r="G92" s="2">
        <v>39</v>
      </c>
      <c r="H92" s="8">
        <v>2</v>
      </c>
      <c r="J92" s="4">
        <v>2</v>
      </c>
      <c r="K92" s="2" t="str">
        <f t="shared" si="10"/>
        <v>resp-correct</v>
      </c>
      <c r="L92" s="2" t="s">
        <v>66</v>
      </c>
      <c r="M92" s="2" t="s">
        <v>41</v>
      </c>
      <c r="N92" t="s">
        <v>66</v>
      </c>
    </row>
    <row r="93" spans="1:14" x14ac:dyDescent="0.2">
      <c r="A93" s="2" t="s">
        <v>4</v>
      </c>
      <c r="B93" s="2" t="s">
        <v>101</v>
      </c>
      <c r="C93" s="2" t="s">
        <v>99</v>
      </c>
      <c r="D93" s="2" t="s">
        <v>895</v>
      </c>
      <c r="E93" s="2">
        <v>7</v>
      </c>
      <c r="F93" s="3">
        <v>5</v>
      </c>
      <c r="G93" s="2">
        <v>40</v>
      </c>
      <c r="H93" s="8">
        <v>3</v>
      </c>
      <c r="J93" s="4">
        <v>2</v>
      </c>
      <c r="K93" s="2" t="str">
        <f t="shared" si="10"/>
        <v>resp-inc</v>
      </c>
      <c r="L93" s="2" t="s">
        <v>66</v>
      </c>
      <c r="M93" s="4" t="s">
        <v>45</v>
      </c>
      <c r="N93" s="4" t="s">
        <v>66</v>
      </c>
    </row>
    <row r="94" spans="1:14" ht="15" x14ac:dyDescent="0.25">
      <c r="A94" s="2" t="s">
        <v>5</v>
      </c>
      <c r="B94" s="2" t="s">
        <v>102</v>
      </c>
      <c r="C94" s="2" t="s">
        <v>7</v>
      </c>
      <c r="D94" s="2" t="s">
        <v>896</v>
      </c>
      <c r="E94" s="2">
        <v>1</v>
      </c>
      <c r="F94" s="3">
        <v>1</v>
      </c>
      <c r="G94" s="2">
        <v>1</v>
      </c>
      <c r="H94" s="8">
        <v>3</v>
      </c>
      <c r="J94" s="4">
        <v>1</v>
      </c>
      <c r="K94" s="2" t="str">
        <f t="shared" si="8"/>
        <v>resp-inc</v>
      </c>
      <c r="L94" s="2" t="s">
        <v>66</v>
      </c>
      <c r="M94" s="2" t="s">
        <v>50</v>
      </c>
      <c r="N94" t="s">
        <v>66</v>
      </c>
    </row>
    <row r="95" spans="1:14" ht="15" x14ac:dyDescent="0.25">
      <c r="A95" s="2" t="s">
        <v>5</v>
      </c>
      <c r="B95" s="2" t="s">
        <v>102</v>
      </c>
      <c r="C95" s="2" t="s">
        <v>7</v>
      </c>
      <c r="D95" s="2" t="s">
        <v>897</v>
      </c>
      <c r="E95" s="2">
        <v>1</v>
      </c>
      <c r="F95" s="3">
        <v>2</v>
      </c>
      <c r="G95" s="2">
        <v>2</v>
      </c>
      <c r="H95" s="8">
        <v>3</v>
      </c>
      <c r="J95" s="4">
        <v>3</v>
      </c>
      <c r="K95" s="2" t="str">
        <f t="shared" si="8"/>
        <v>resp-correct</v>
      </c>
      <c r="L95" s="2" t="s">
        <v>66</v>
      </c>
      <c r="M95" s="2" t="s">
        <v>50</v>
      </c>
      <c r="N95" t="s">
        <v>66</v>
      </c>
    </row>
    <row r="96" spans="1:14" ht="15" x14ac:dyDescent="0.25">
      <c r="A96" s="2" t="s">
        <v>5</v>
      </c>
      <c r="B96" s="2" t="s">
        <v>102</v>
      </c>
      <c r="C96" s="2" t="s">
        <v>7</v>
      </c>
      <c r="D96" s="2" t="s">
        <v>898</v>
      </c>
      <c r="E96" s="2">
        <v>1</v>
      </c>
      <c r="F96" s="3">
        <v>3</v>
      </c>
      <c r="G96" s="2">
        <v>3</v>
      </c>
      <c r="H96" s="8">
        <v>3</v>
      </c>
      <c r="J96" s="4">
        <v>3</v>
      </c>
      <c r="K96" s="2" t="str">
        <f t="shared" si="8"/>
        <v>resp-correct</v>
      </c>
      <c r="L96" s="2" t="s">
        <v>66</v>
      </c>
      <c r="M96" s="2" t="s">
        <v>50</v>
      </c>
      <c r="N96" t="s">
        <v>66</v>
      </c>
    </row>
    <row r="97" spans="1:14" ht="15" x14ac:dyDescent="0.25">
      <c r="A97" s="2" t="s">
        <v>5</v>
      </c>
      <c r="B97" s="2" t="s">
        <v>102</v>
      </c>
      <c r="C97" s="2" t="s">
        <v>7</v>
      </c>
      <c r="D97" s="2" t="s">
        <v>899</v>
      </c>
      <c r="E97" s="2">
        <v>1</v>
      </c>
      <c r="F97" s="3">
        <v>4</v>
      </c>
      <c r="G97" s="2">
        <v>4</v>
      </c>
      <c r="H97" s="8">
        <v>3</v>
      </c>
      <c r="J97" s="4">
        <v>4</v>
      </c>
      <c r="K97" s="2" t="str">
        <f t="shared" si="8"/>
        <v>resp-inc</v>
      </c>
      <c r="L97" s="2" t="s">
        <v>66</v>
      </c>
      <c r="M97" s="2" t="s">
        <v>50</v>
      </c>
      <c r="N97" t="s">
        <v>66</v>
      </c>
    </row>
    <row r="98" spans="1:14" ht="15" x14ac:dyDescent="0.25">
      <c r="A98" s="2" t="s">
        <v>5</v>
      </c>
      <c r="B98" s="2" t="s">
        <v>102</v>
      </c>
      <c r="C98" s="2" t="s">
        <v>7</v>
      </c>
      <c r="D98" s="2" t="s">
        <v>900</v>
      </c>
      <c r="E98" s="2">
        <v>1</v>
      </c>
      <c r="F98" s="3">
        <v>5</v>
      </c>
      <c r="G98" s="2">
        <v>5</v>
      </c>
      <c r="H98" s="8">
        <v>3</v>
      </c>
      <c r="J98" s="4">
        <v>4</v>
      </c>
      <c r="K98" s="2" t="str">
        <f t="shared" si="8"/>
        <v>resp-inc</v>
      </c>
      <c r="L98" s="2" t="s">
        <v>66</v>
      </c>
      <c r="M98" s="2" t="s">
        <v>50</v>
      </c>
      <c r="N98" t="s">
        <v>66</v>
      </c>
    </row>
    <row r="99" spans="1:14" ht="15" x14ac:dyDescent="0.25">
      <c r="A99" s="2" t="s">
        <v>5</v>
      </c>
      <c r="B99" s="2" t="s">
        <v>102</v>
      </c>
      <c r="C99" s="2" t="s">
        <v>8</v>
      </c>
      <c r="D99" s="2" t="s">
        <v>901</v>
      </c>
      <c r="E99" s="2">
        <v>2</v>
      </c>
      <c r="F99" s="3">
        <v>1</v>
      </c>
      <c r="G99" s="2">
        <v>6</v>
      </c>
      <c r="H99" s="8">
        <v>4</v>
      </c>
      <c r="J99" s="4">
        <v>3</v>
      </c>
      <c r="K99" s="2" t="str">
        <f t="shared" si="8"/>
        <v>resp-inc</v>
      </c>
      <c r="L99" s="2" t="s">
        <v>66</v>
      </c>
      <c r="M99" s="2" t="s">
        <v>799</v>
      </c>
      <c r="N99" t="s">
        <v>66</v>
      </c>
    </row>
    <row r="100" spans="1:14" ht="15" x14ac:dyDescent="0.25">
      <c r="A100" s="2" t="s">
        <v>5</v>
      </c>
      <c r="B100" s="2" t="s">
        <v>102</v>
      </c>
      <c r="C100" s="2" t="s">
        <v>8</v>
      </c>
      <c r="D100" s="2" t="s">
        <v>902</v>
      </c>
      <c r="E100" s="2">
        <v>2</v>
      </c>
      <c r="F100" s="3">
        <v>2</v>
      </c>
      <c r="G100" s="2">
        <v>7</v>
      </c>
      <c r="H100" s="8">
        <v>4</v>
      </c>
      <c r="J100" s="4">
        <v>4</v>
      </c>
      <c r="K100" s="2" t="str">
        <f t="shared" si="8"/>
        <v>resp-correct</v>
      </c>
      <c r="L100" s="2" t="s">
        <v>66</v>
      </c>
      <c r="M100" s="2" t="s">
        <v>800</v>
      </c>
      <c r="N100" t="s">
        <v>66</v>
      </c>
    </row>
    <row r="101" spans="1:14" ht="15" x14ac:dyDescent="0.25">
      <c r="A101" s="2" t="s">
        <v>5</v>
      </c>
      <c r="B101" s="2" t="s">
        <v>102</v>
      </c>
      <c r="C101" s="2" t="s">
        <v>8</v>
      </c>
      <c r="D101" s="2" t="s">
        <v>903</v>
      </c>
      <c r="E101" s="2">
        <v>2</v>
      </c>
      <c r="F101" s="3">
        <v>3</v>
      </c>
      <c r="G101" s="2">
        <v>8</v>
      </c>
      <c r="H101" s="8">
        <v>4</v>
      </c>
      <c r="J101" s="4">
        <v>1</v>
      </c>
      <c r="K101" s="2" t="str">
        <f t="shared" si="8"/>
        <v>resp-inc</v>
      </c>
      <c r="L101" s="2" t="s">
        <v>66</v>
      </c>
      <c r="M101" s="2" t="s">
        <v>799</v>
      </c>
      <c r="N101" t="s">
        <v>66</v>
      </c>
    </row>
    <row r="102" spans="1:14" ht="15" x14ac:dyDescent="0.25">
      <c r="A102" s="2" t="s">
        <v>5</v>
      </c>
      <c r="B102" s="2" t="s">
        <v>102</v>
      </c>
      <c r="C102" s="2" t="s">
        <v>8</v>
      </c>
      <c r="D102" s="2" t="s">
        <v>904</v>
      </c>
      <c r="E102" s="2">
        <v>2</v>
      </c>
      <c r="F102" s="3">
        <v>4</v>
      </c>
      <c r="G102" s="2">
        <v>9</v>
      </c>
      <c r="H102" s="8">
        <v>4</v>
      </c>
      <c r="J102" s="4">
        <v>4</v>
      </c>
      <c r="K102" s="2" t="str">
        <f t="shared" si="8"/>
        <v>resp-correct</v>
      </c>
      <c r="L102" s="2" t="s">
        <v>66</v>
      </c>
      <c r="M102" s="2" t="s">
        <v>799</v>
      </c>
      <c r="N102" t="s">
        <v>66</v>
      </c>
    </row>
    <row r="103" spans="1:14" ht="15" x14ac:dyDescent="0.25">
      <c r="A103" s="2" t="s">
        <v>5</v>
      </c>
      <c r="B103" s="2" t="s">
        <v>102</v>
      </c>
      <c r="C103" s="2" t="s">
        <v>8</v>
      </c>
      <c r="D103" s="2" t="s">
        <v>905</v>
      </c>
      <c r="E103" s="2">
        <v>2</v>
      </c>
      <c r="F103" s="3">
        <v>5</v>
      </c>
      <c r="G103" s="2">
        <v>10</v>
      </c>
      <c r="H103" s="8">
        <v>4</v>
      </c>
      <c r="J103" s="4">
        <v>3</v>
      </c>
      <c r="K103" s="2" t="str">
        <f t="shared" si="8"/>
        <v>resp-inc</v>
      </c>
      <c r="L103" s="2" t="s">
        <v>66</v>
      </c>
      <c r="M103" s="2" t="s">
        <v>799</v>
      </c>
      <c r="N103" t="s">
        <v>66</v>
      </c>
    </row>
    <row r="104" spans="1:14" ht="15" x14ac:dyDescent="0.25">
      <c r="A104" s="2" t="s">
        <v>5</v>
      </c>
      <c r="B104" s="2" t="s">
        <v>102</v>
      </c>
      <c r="C104" s="2" t="s">
        <v>8</v>
      </c>
      <c r="D104" s="2" t="s">
        <v>906</v>
      </c>
      <c r="E104" s="2">
        <v>2</v>
      </c>
      <c r="F104" s="3">
        <v>6</v>
      </c>
      <c r="G104" s="2">
        <v>11</v>
      </c>
      <c r="H104" s="8">
        <v>1</v>
      </c>
      <c r="J104" s="4">
        <v>1</v>
      </c>
      <c r="K104" s="2" t="str">
        <f t="shared" si="8"/>
        <v>resp-correct</v>
      </c>
      <c r="L104" s="2" t="s">
        <v>66</v>
      </c>
      <c r="M104" s="2" t="s">
        <v>799</v>
      </c>
      <c r="N104" t="s">
        <v>66</v>
      </c>
    </row>
    <row r="105" spans="1:14" ht="15" x14ac:dyDescent="0.25">
      <c r="A105" s="2" t="s">
        <v>5</v>
      </c>
      <c r="B105" s="2" t="s">
        <v>102</v>
      </c>
      <c r="C105" s="2" t="s">
        <v>6</v>
      </c>
      <c r="D105" s="2" t="s">
        <v>907</v>
      </c>
      <c r="E105" s="2">
        <v>3</v>
      </c>
      <c r="F105" s="3">
        <v>1</v>
      </c>
      <c r="G105" s="2">
        <v>12</v>
      </c>
      <c r="H105" s="8">
        <v>1</v>
      </c>
      <c r="J105" s="4">
        <v>2</v>
      </c>
      <c r="K105" s="2" t="str">
        <f t="shared" si="8"/>
        <v>resp-inc</v>
      </c>
      <c r="L105" s="2" t="s">
        <v>66</v>
      </c>
      <c r="M105" s="2" t="s">
        <v>50</v>
      </c>
      <c r="N105" t="s">
        <v>66</v>
      </c>
    </row>
    <row r="106" spans="1:14" ht="15" x14ac:dyDescent="0.25">
      <c r="A106" s="2" t="s">
        <v>5</v>
      </c>
      <c r="B106" s="2" t="s">
        <v>102</v>
      </c>
      <c r="C106" s="2" t="s">
        <v>6</v>
      </c>
      <c r="D106" s="2" t="s">
        <v>908</v>
      </c>
      <c r="E106" s="2">
        <v>3</v>
      </c>
      <c r="F106" s="3">
        <v>2</v>
      </c>
      <c r="G106" s="2">
        <v>13</v>
      </c>
      <c r="H106" s="8">
        <v>1</v>
      </c>
      <c r="J106" s="4">
        <v>4</v>
      </c>
      <c r="K106" s="2" t="str">
        <f t="shared" si="8"/>
        <v>resp-inc</v>
      </c>
      <c r="L106" s="2" t="s">
        <v>66</v>
      </c>
      <c r="M106" s="2" t="s">
        <v>801</v>
      </c>
      <c r="N106" t="s">
        <v>66</v>
      </c>
    </row>
    <row r="107" spans="1:14" ht="15" x14ac:dyDescent="0.25">
      <c r="A107" s="2" t="s">
        <v>5</v>
      </c>
      <c r="B107" s="2" t="s">
        <v>102</v>
      </c>
      <c r="C107" s="2" t="s">
        <v>6</v>
      </c>
      <c r="D107" s="2" t="s">
        <v>909</v>
      </c>
      <c r="E107" s="2">
        <v>3</v>
      </c>
      <c r="F107" s="3">
        <v>3</v>
      </c>
      <c r="G107" s="2">
        <v>14</v>
      </c>
      <c r="H107" s="8">
        <v>1</v>
      </c>
      <c r="J107" s="4">
        <v>4</v>
      </c>
      <c r="K107" s="2" t="str">
        <f t="shared" si="8"/>
        <v>resp-inc</v>
      </c>
      <c r="L107" s="2" t="s">
        <v>66</v>
      </c>
      <c r="M107" s="2" t="s">
        <v>58</v>
      </c>
      <c r="N107" t="s">
        <v>66</v>
      </c>
    </row>
    <row r="108" spans="1:14" ht="15" x14ac:dyDescent="0.25">
      <c r="A108" s="2" t="s">
        <v>5</v>
      </c>
      <c r="B108" s="2" t="s">
        <v>102</v>
      </c>
      <c r="C108" s="2" t="s">
        <v>6</v>
      </c>
      <c r="D108" s="2" t="s">
        <v>910</v>
      </c>
      <c r="E108" s="2">
        <v>3</v>
      </c>
      <c r="F108" s="3">
        <v>4</v>
      </c>
      <c r="G108" s="2">
        <v>15</v>
      </c>
      <c r="H108" s="8">
        <v>2</v>
      </c>
      <c r="J108" s="4">
        <v>3</v>
      </c>
      <c r="K108" s="2" t="str">
        <f t="shared" si="8"/>
        <v>resp-inc</v>
      </c>
      <c r="L108" s="2" t="s">
        <v>66</v>
      </c>
      <c r="M108" s="2" t="s">
        <v>47</v>
      </c>
      <c r="N108" t="s">
        <v>66</v>
      </c>
    </row>
    <row r="109" spans="1:14" ht="15" x14ac:dyDescent="0.25">
      <c r="A109" s="2" t="s">
        <v>5</v>
      </c>
      <c r="B109" s="2" t="s">
        <v>102</v>
      </c>
      <c r="C109" s="2" t="s">
        <v>9</v>
      </c>
      <c r="D109" s="2" t="s">
        <v>911</v>
      </c>
      <c r="E109" s="2">
        <v>4</v>
      </c>
      <c r="F109" s="3">
        <v>1</v>
      </c>
      <c r="G109" s="2">
        <v>16</v>
      </c>
      <c r="H109" s="8">
        <v>2</v>
      </c>
      <c r="J109" s="4">
        <v>2</v>
      </c>
      <c r="K109" s="2" t="str">
        <f t="shared" si="8"/>
        <v>resp-correct</v>
      </c>
      <c r="L109" s="2" t="s">
        <v>66</v>
      </c>
      <c r="M109" s="2" t="s">
        <v>802</v>
      </c>
      <c r="N109" t="s">
        <v>66</v>
      </c>
    </row>
    <row r="110" spans="1:14" ht="15" x14ac:dyDescent="0.25">
      <c r="A110" s="2" t="s">
        <v>5</v>
      </c>
      <c r="B110" s="2" t="s">
        <v>102</v>
      </c>
      <c r="C110" s="2" t="s">
        <v>9</v>
      </c>
      <c r="D110" s="2" t="s">
        <v>912</v>
      </c>
      <c r="E110" s="2">
        <v>4</v>
      </c>
      <c r="F110" s="3">
        <v>2</v>
      </c>
      <c r="G110" s="2">
        <v>17</v>
      </c>
      <c r="H110" s="8">
        <v>2</v>
      </c>
      <c r="J110" s="4">
        <v>2</v>
      </c>
      <c r="K110" s="2" t="str">
        <f t="shared" si="8"/>
        <v>resp-correct</v>
      </c>
      <c r="L110" s="2" t="s">
        <v>66</v>
      </c>
      <c r="M110" s="2" t="s">
        <v>802</v>
      </c>
      <c r="N110" t="s">
        <v>66</v>
      </c>
    </row>
    <row r="111" spans="1:14" ht="15" x14ac:dyDescent="0.25">
      <c r="A111" s="2" t="s">
        <v>5</v>
      </c>
      <c r="B111" s="2" t="s">
        <v>102</v>
      </c>
      <c r="C111" s="2" t="s">
        <v>9</v>
      </c>
      <c r="D111" s="2" t="s">
        <v>913</v>
      </c>
      <c r="E111" s="2">
        <v>4</v>
      </c>
      <c r="F111" s="3">
        <v>3</v>
      </c>
      <c r="G111" s="2">
        <v>18</v>
      </c>
      <c r="H111" s="8">
        <v>2</v>
      </c>
      <c r="J111" s="4">
        <v>1</v>
      </c>
      <c r="K111" s="2" t="str">
        <f t="shared" si="8"/>
        <v>resp-inc</v>
      </c>
      <c r="L111" s="2" t="s">
        <v>66</v>
      </c>
      <c r="M111" s="2" t="s">
        <v>54</v>
      </c>
      <c r="N111" t="s">
        <v>66</v>
      </c>
    </row>
    <row r="112" spans="1:14" ht="15" x14ac:dyDescent="0.25">
      <c r="A112" s="2" t="s">
        <v>5</v>
      </c>
      <c r="B112" s="2" t="s">
        <v>102</v>
      </c>
      <c r="C112" s="2" t="s">
        <v>9</v>
      </c>
      <c r="D112" s="2" t="s">
        <v>914</v>
      </c>
      <c r="E112" s="2">
        <v>4</v>
      </c>
      <c r="F112" s="3">
        <v>4</v>
      </c>
      <c r="G112" s="2">
        <v>19</v>
      </c>
      <c r="H112" s="8">
        <v>2</v>
      </c>
      <c r="J112" s="4">
        <v>3</v>
      </c>
      <c r="K112" s="2" t="str">
        <f t="shared" si="8"/>
        <v>resp-inc</v>
      </c>
      <c r="L112" s="2" t="s">
        <v>66</v>
      </c>
      <c r="M112" s="2" t="s">
        <v>51</v>
      </c>
      <c r="N112" t="s">
        <v>66</v>
      </c>
    </row>
    <row r="113" spans="1:14" ht="15" x14ac:dyDescent="0.25">
      <c r="A113" s="2" t="s">
        <v>5</v>
      </c>
      <c r="B113" s="2" t="s">
        <v>102</v>
      </c>
      <c r="C113" s="2" t="s">
        <v>9</v>
      </c>
      <c r="D113" s="2" t="s">
        <v>915</v>
      </c>
      <c r="E113" s="2">
        <v>4</v>
      </c>
      <c r="F113" s="3">
        <v>5</v>
      </c>
      <c r="G113" s="2">
        <v>20</v>
      </c>
      <c r="H113" s="8">
        <v>1</v>
      </c>
      <c r="J113" s="4">
        <v>4</v>
      </c>
      <c r="K113" s="2" t="str">
        <f t="shared" si="8"/>
        <v>resp-inc</v>
      </c>
      <c r="L113" s="2" t="s">
        <v>66</v>
      </c>
      <c r="M113" s="2" t="s">
        <v>55</v>
      </c>
      <c r="N113" t="s">
        <v>66</v>
      </c>
    </row>
    <row r="114" spans="1:14" ht="15" x14ac:dyDescent="0.25">
      <c r="A114" s="2" t="s">
        <v>5</v>
      </c>
      <c r="B114" s="2" t="s">
        <v>102</v>
      </c>
      <c r="C114" s="2" t="s">
        <v>9</v>
      </c>
      <c r="D114" s="2" t="s">
        <v>916</v>
      </c>
      <c r="E114" s="2">
        <v>4</v>
      </c>
      <c r="F114" s="3">
        <v>6</v>
      </c>
      <c r="G114" s="2">
        <v>21</v>
      </c>
      <c r="H114" s="8">
        <v>2</v>
      </c>
      <c r="J114" s="4">
        <v>3</v>
      </c>
      <c r="K114" s="2" t="str">
        <f t="shared" si="8"/>
        <v>resp-inc</v>
      </c>
      <c r="L114" s="2" t="s">
        <v>66</v>
      </c>
      <c r="M114" s="2" t="s">
        <v>802</v>
      </c>
      <c r="N114" t="s">
        <v>66</v>
      </c>
    </row>
    <row r="115" spans="1:14" ht="15" x14ac:dyDescent="0.25">
      <c r="A115" s="2" t="s">
        <v>5</v>
      </c>
      <c r="B115" s="2" t="s">
        <v>102</v>
      </c>
      <c r="C115" s="2" t="s">
        <v>9</v>
      </c>
      <c r="D115" s="2" t="s">
        <v>917</v>
      </c>
      <c r="E115" s="2">
        <v>4</v>
      </c>
      <c r="F115" s="3">
        <v>7</v>
      </c>
      <c r="G115" s="2">
        <v>22</v>
      </c>
      <c r="H115" s="8">
        <v>1</v>
      </c>
      <c r="J115" s="4">
        <v>2</v>
      </c>
      <c r="K115" s="2" t="str">
        <f t="shared" si="8"/>
        <v>resp-inc</v>
      </c>
      <c r="L115" s="2" t="s">
        <v>66</v>
      </c>
      <c r="M115" s="2" t="s">
        <v>802</v>
      </c>
      <c r="N115" t="s">
        <v>66</v>
      </c>
    </row>
    <row r="116" spans="1:14" ht="15" x14ac:dyDescent="0.25">
      <c r="A116" s="2" t="s">
        <v>5</v>
      </c>
      <c r="B116" s="2" t="s">
        <v>102</v>
      </c>
      <c r="C116" s="2" t="s">
        <v>10</v>
      </c>
      <c r="D116" s="2" t="s">
        <v>918</v>
      </c>
      <c r="E116" s="2">
        <v>5</v>
      </c>
      <c r="F116" s="3">
        <v>1</v>
      </c>
      <c r="G116" s="2">
        <v>23</v>
      </c>
      <c r="H116" s="8">
        <v>1</v>
      </c>
      <c r="J116" s="4">
        <v>4</v>
      </c>
      <c r="K116" s="2" t="str">
        <f t="shared" si="8"/>
        <v>resp-inc</v>
      </c>
      <c r="L116" s="2" t="s">
        <v>66</v>
      </c>
      <c r="M116" s="2" t="s">
        <v>53</v>
      </c>
      <c r="N116" t="s">
        <v>66</v>
      </c>
    </row>
    <row r="117" spans="1:14" ht="15" x14ac:dyDescent="0.25">
      <c r="A117" s="2" t="s">
        <v>5</v>
      </c>
      <c r="B117" s="2" t="s">
        <v>102</v>
      </c>
      <c r="C117" s="2" t="s">
        <v>10</v>
      </c>
      <c r="D117" s="2" t="s">
        <v>919</v>
      </c>
      <c r="E117" s="2">
        <v>5</v>
      </c>
      <c r="F117" s="3">
        <v>2</v>
      </c>
      <c r="G117" s="2">
        <v>24</v>
      </c>
      <c r="H117" s="8">
        <v>2</v>
      </c>
      <c r="J117" s="4">
        <v>1</v>
      </c>
      <c r="K117" s="2" t="str">
        <f t="shared" si="8"/>
        <v>resp-inc</v>
      </c>
      <c r="L117" s="2" t="s">
        <v>66</v>
      </c>
      <c r="M117" s="2" t="s">
        <v>52</v>
      </c>
      <c r="N117" t="s">
        <v>66</v>
      </c>
    </row>
    <row r="118" spans="1:14" ht="15" x14ac:dyDescent="0.25">
      <c r="A118" s="2" t="s">
        <v>5</v>
      </c>
      <c r="B118" s="2" t="s">
        <v>102</v>
      </c>
      <c r="C118" s="2" t="s">
        <v>10</v>
      </c>
      <c r="D118" s="2" t="s">
        <v>920</v>
      </c>
      <c r="E118" s="2">
        <v>5</v>
      </c>
      <c r="F118" s="3">
        <v>3</v>
      </c>
      <c r="G118" s="2">
        <v>25</v>
      </c>
      <c r="H118" s="8">
        <v>2</v>
      </c>
      <c r="J118" s="4">
        <v>4</v>
      </c>
      <c r="K118" s="2" t="str">
        <f t="shared" si="8"/>
        <v>resp-inc</v>
      </c>
      <c r="L118" s="2" t="s">
        <v>66</v>
      </c>
      <c r="M118" s="2" t="s">
        <v>53</v>
      </c>
      <c r="N118" t="s">
        <v>66</v>
      </c>
    </row>
    <row r="119" spans="1:14" ht="15" x14ac:dyDescent="0.25">
      <c r="A119" s="2" t="s">
        <v>5</v>
      </c>
      <c r="B119" s="2" t="s">
        <v>102</v>
      </c>
      <c r="C119" s="2" t="s">
        <v>10</v>
      </c>
      <c r="D119" s="2" t="s">
        <v>921</v>
      </c>
      <c r="E119" s="2">
        <v>5</v>
      </c>
      <c r="F119" s="3">
        <v>4</v>
      </c>
      <c r="G119" s="2">
        <v>26</v>
      </c>
      <c r="H119" s="8">
        <v>2</v>
      </c>
      <c r="J119" s="4">
        <v>1</v>
      </c>
      <c r="K119" s="2" t="str">
        <f t="shared" si="8"/>
        <v>resp-inc</v>
      </c>
      <c r="L119" s="2" t="s">
        <v>66</v>
      </c>
      <c r="M119" s="2" t="s">
        <v>47</v>
      </c>
      <c r="N119" t="s">
        <v>66</v>
      </c>
    </row>
    <row r="120" spans="1:14" ht="15" x14ac:dyDescent="0.25">
      <c r="A120" s="2" t="s">
        <v>5</v>
      </c>
      <c r="B120" s="2" t="s">
        <v>102</v>
      </c>
      <c r="C120" s="2" t="s">
        <v>10</v>
      </c>
      <c r="D120" s="2" t="s">
        <v>922</v>
      </c>
      <c r="E120" s="2">
        <v>5</v>
      </c>
      <c r="F120" s="3">
        <v>5</v>
      </c>
      <c r="G120" s="2">
        <v>27</v>
      </c>
      <c r="H120" s="8">
        <v>2</v>
      </c>
      <c r="J120" s="4">
        <v>2</v>
      </c>
      <c r="K120" s="2" t="str">
        <f t="shared" si="8"/>
        <v>resp-correct</v>
      </c>
      <c r="L120" s="2" t="s">
        <v>66</v>
      </c>
      <c r="M120" s="2" t="s">
        <v>52</v>
      </c>
      <c r="N120" t="s">
        <v>66</v>
      </c>
    </row>
    <row r="121" spans="1:14" ht="15" x14ac:dyDescent="0.25">
      <c r="A121" s="2" t="s">
        <v>5</v>
      </c>
      <c r="B121" s="2" t="s">
        <v>102</v>
      </c>
      <c r="C121" s="2" t="s">
        <v>10</v>
      </c>
      <c r="D121" s="2" t="s">
        <v>923</v>
      </c>
      <c r="E121" s="2">
        <v>5</v>
      </c>
      <c r="F121" s="3">
        <v>6</v>
      </c>
      <c r="G121" s="2">
        <v>28</v>
      </c>
      <c r="H121" s="8">
        <v>2</v>
      </c>
      <c r="J121" s="4">
        <v>3</v>
      </c>
      <c r="K121" s="2" t="str">
        <f t="shared" si="8"/>
        <v>resp-inc</v>
      </c>
      <c r="L121" s="2" t="s">
        <v>66</v>
      </c>
      <c r="M121" s="2" t="s">
        <v>53</v>
      </c>
      <c r="N121" t="s">
        <v>66</v>
      </c>
    </row>
    <row r="122" spans="1:14" ht="15" x14ac:dyDescent="0.25">
      <c r="A122" s="2" t="s">
        <v>5</v>
      </c>
      <c r="B122" s="2" t="s">
        <v>102</v>
      </c>
      <c r="C122" s="2" t="s">
        <v>10</v>
      </c>
      <c r="D122" s="2" t="s">
        <v>924</v>
      </c>
      <c r="E122" s="2">
        <v>5</v>
      </c>
      <c r="F122" s="3">
        <v>7</v>
      </c>
      <c r="G122" s="2">
        <v>29</v>
      </c>
      <c r="H122" s="8">
        <v>2</v>
      </c>
      <c r="J122" s="4">
        <v>2</v>
      </c>
      <c r="K122" s="2" t="str">
        <f t="shared" si="8"/>
        <v>resp-correct</v>
      </c>
      <c r="L122" s="2" t="s">
        <v>66</v>
      </c>
      <c r="M122" s="2" t="s">
        <v>53</v>
      </c>
      <c r="N122" t="s">
        <v>66</v>
      </c>
    </row>
    <row r="123" spans="1:14" ht="15" x14ac:dyDescent="0.25">
      <c r="A123" s="2" t="s">
        <v>5</v>
      </c>
      <c r="B123" s="2" t="s">
        <v>102</v>
      </c>
      <c r="C123" s="2" t="s">
        <v>6</v>
      </c>
      <c r="D123" s="2" t="s">
        <v>925</v>
      </c>
      <c r="E123" s="2">
        <v>6</v>
      </c>
      <c r="F123" s="3">
        <v>1</v>
      </c>
      <c r="G123" s="2">
        <v>30</v>
      </c>
      <c r="H123" s="8">
        <v>3</v>
      </c>
      <c r="J123" s="4">
        <v>2</v>
      </c>
      <c r="K123" s="2" t="str">
        <f t="shared" si="8"/>
        <v>resp-inc</v>
      </c>
      <c r="L123" s="2" t="s">
        <v>66</v>
      </c>
      <c r="M123" s="2" t="s">
        <v>49</v>
      </c>
      <c r="N123" t="s">
        <v>66</v>
      </c>
    </row>
    <row r="124" spans="1:14" ht="15" x14ac:dyDescent="0.25">
      <c r="A124" s="2" t="s">
        <v>5</v>
      </c>
      <c r="B124" s="2" t="s">
        <v>102</v>
      </c>
      <c r="C124" s="2" t="s">
        <v>6</v>
      </c>
      <c r="D124" s="2" t="s">
        <v>926</v>
      </c>
      <c r="E124" s="2">
        <v>6</v>
      </c>
      <c r="F124" s="3">
        <v>2</v>
      </c>
      <c r="G124" s="2">
        <v>31</v>
      </c>
      <c r="H124" s="8">
        <v>3</v>
      </c>
      <c r="J124" s="4">
        <v>1</v>
      </c>
      <c r="K124" s="2" t="str">
        <f t="shared" si="8"/>
        <v>resp-inc</v>
      </c>
      <c r="L124" s="2" t="s">
        <v>66</v>
      </c>
      <c r="M124" s="2" t="s">
        <v>49</v>
      </c>
      <c r="N124" t="s">
        <v>66</v>
      </c>
    </row>
    <row r="125" spans="1:14" ht="15" x14ac:dyDescent="0.25">
      <c r="A125" s="2" t="s">
        <v>5</v>
      </c>
      <c r="B125" s="2" t="s">
        <v>102</v>
      </c>
      <c r="C125" s="2" t="s">
        <v>6</v>
      </c>
      <c r="D125" s="2" t="s">
        <v>927</v>
      </c>
      <c r="E125" s="2">
        <v>6</v>
      </c>
      <c r="F125" s="3">
        <v>3</v>
      </c>
      <c r="G125" s="2">
        <v>32</v>
      </c>
      <c r="H125" s="8">
        <v>3</v>
      </c>
      <c r="J125" s="4">
        <v>2</v>
      </c>
      <c r="K125" s="2" t="str">
        <f t="shared" si="8"/>
        <v>resp-inc</v>
      </c>
      <c r="L125" s="2" t="s">
        <v>66</v>
      </c>
      <c r="M125" s="2" t="s">
        <v>57</v>
      </c>
      <c r="N125" t="s">
        <v>66</v>
      </c>
    </row>
    <row r="126" spans="1:14" ht="15" x14ac:dyDescent="0.25">
      <c r="A126" s="2" t="s">
        <v>5</v>
      </c>
      <c r="B126" s="2" t="s">
        <v>102</v>
      </c>
      <c r="C126" s="2" t="s">
        <v>6</v>
      </c>
      <c r="D126" s="2" t="s">
        <v>928</v>
      </c>
      <c r="E126" s="2">
        <v>6</v>
      </c>
      <c r="F126" s="3">
        <v>4</v>
      </c>
      <c r="G126" s="2">
        <v>33</v>
      </c>
      <c r="H126" s="8">
        <v>3</v>
      </c>
      <c r="J126" s="4">
        <v>3</v>
      </c>
      <c r="K126" s="2" t="str">
        <f t="shared" si="8"/>
        <v>resp-correct</v>
      </c>
      <c r="L126" s="2" t="s">
        <v>66</v>
      </c>
      <c r="M126" s="2" t="s">
        <v>46</v>
      </c>
      <c r="N126" t="s">
        <v>66</v>
      </c>
    </row>
    <row r="127" spans="1:14" ht="15" x14ac:dyDescent="0.25">
      <c r="A127" s="2" t="s">
        <v>5</v>
      </c>
      <c r="B127" s="2" t="s">
        <v>102</v>
      </c>
      <c r="C127" s="2" t="s">
        <v>11</v>
      </c>
      <c r="D127" s="2" t="s">
        <v>929</v>
      </c>
      <c r="E127" s="2">
        <v>7</v>
      </c>
      <c r="F127" s="3">
        <v>1</v>
      </c>
      <c r="G127" s="2">
        <v>34</v>
      </c>
      <c r="H127" s="8">
        <v>3</v>
      </c>
      <c r="J127" s="4">
        <v>1</v>
      </c>
      <c r="K127" s="2" t="str">
        <f t="shared" si="8"/>
        <v>resp-inc</v>
      </c>
      <c r="L127" s="2" t="s">
        <v>66</v>
      </c>
      <c r="M127" s="2" t="s">
        <v>803</v>
      </c>
      <c r="N127" t="s">
        <v>66</v>
      </c>
    </row>
    <row r="128" spans="1:14" ht="15" x14ac:dyDescent="0.25">
      <c r="A128" s="2" t="s">
        <v>5</v>
      </c>
      <c r="B128" s="2" t="s">
        <v>102</v>
      </c>
      <c r="C128" s="2" t="s">
        <v>11</v>
      </c>
      <c r="D128" s="2" t="s">
        <v>930</v>
      </c>
      <c r="E128" s="2">
        <v>7</v>
      </c>
      <c r="F128" s="3">
        <v>2</v>
      </c>
      <c r="G128" s="2">
        <v>35</v>
      </c>
      <c r="H128" s="8">
        <v>3</v>
      </c>
      <c r="J128" s="4">
        <v>1</v>
      </c>
      <c r="K128" s="2" t="str">
        <f t="shared" si="8"/>
        <v>resp-inc</v>
      </c>
      <c r="L128" s="2" t="s">
        <v>66</v>
      </c>
      <c r="M128" s="2" t="s">
        <v>803</v>
      </c>
      <c r="N128" t="s">
        <v>66</v>
      </c>
    </row>
    <row r="129" spans="1:14" ht="15" x14ac:dyDescent="0.25">
      <c r="A129" s="2" t="s">
        <v>5</v>
      </c>
      <c r="B129" s="2" t="s">
        <v>102</v>
      </c>
      <c r="C129" s="2" t="s">
        <v>11</v>
      </c>
      <c r="D129" s="2" t="s">
        <v>931</v>
      </c>
      <c r="E129" s="2">
        <v>7</v>
      </c>
      <c r="F129" s="3">
        <v>3</v>
      </c>
      <c r="G129" s="2">
        <v>36</v>
      </c>
      <c r="H129" s="8">
        <v>4</v>
      </c>
      <c r="J129" s="4">
        <v>4</v>
      </c>
      <c r="K129" s="2" t="str">
        <f t="shared" si="8"/>
        <v>resp-correct</v>
      </c>
      <c r="L129" s="2" t="s">
        <v>66</v>
      </c>
      <c r="M129" s="2" t="s">
        <v>803</v>
      </c>
      <c r="N129" t="s">
        <v>66</v>
      </c>
    </row>
    <row r="130" spans="1:14" ht="15" x14ac:dyDescent="0.25">
      <c r="A130" s="2" t="s">
        <v>5</v>
      </c>
      <c r="B130" s="2" t="s">
        <v>102</v>
      </c>
      <c r="C130" s="2" t="s">
        <v>11</v>
      </c>
      <c r="D130" s="2" t="s">
        <v>932</v>
      </c>
      <c r="E130" s="2">
        <v>7</v>
      </c>
      <c r="F130" s="3">
        <v>4</v>
      </c>
      <c r="G130" s="2">
        <v>37</v>
      </c>
      <c r="H130" s="8">
        <v>4</v>
      </c>
      <c r="J130" s="4">
        <v>4</v>
      </c>
      <c r="K130" s="2" t="str">
        <f t="shared" si="8"/>
        <v>resp-correct</v>
      </c>
      <c r="L130" s="2" t="s">
        <v>66</v>
      </c>
      <c r="M130" s="2" t="s">
        <v>803</v>
      </c>
      <c r="N130" t="s">
        <v>66</v>
      </c>
    </row>
    <row r="131" spans="1:14" ht="15" x14ac:dyDescent="0.25">
      <c r="A131" s="2" t="s">
        <v>5</v>
      </c>
      <c r="B131" s="2" t="s">
        <v>102</v>
      </c>
      <c r="C131" s="2" t="s">
        <v>11</v>
      </c>
      <c r="D131" s="2" t="s">
        <v>933</v>
      </c>
      <c r="E131" s="2">
        <v>7</v>
      </c>
      <c r="F131" s="3">
        <v>5</v>
      </c>
      <c r="G131" s="2">
        <v>38</v>
      </c>
      <c r="H131" s="8">
        <v>4</v>
      </c>
      <c r="J131" s="4">
        <v>2</v>
      </c>
      <c r="K131" s="2" t="str">
        <f t="shared" si="8"/>
        <v>resp-inc</v>
      </c>
      <c r="L131" s="2" t="s">
        <v>66</v>
      </c>
      <c r="M131" s="2" t="s">
        <v>48</v>
      </c>
      <c r="N131" t="s">
        <v>66</v>
      </c>
    </row>
    <row r="132" spans="1:14" ht="15" x14ac:dyDescent="0.25">
      <c r="A132" s="2" t="s">
        <v>5</v>
      </c>
      <c r="B132" s="2" t="s">
        <v>102</v>
      </c>
      <c r="C132" s="2" t="s">
        <v>12</v>
      </c>
      <c r="D132" s="2" t="s">
        <v>934</v>
      </c>
      <c r="E132" s="2">
        <v>8</v>
      </c>
      <c r="F132" s="3">
        <v>1</v>
      </c>
      <c r="G132" s="2">
        <v>39</v>
      </c>
      <c r="H132" s="8">
        <v>4</v>
      </c>
      <c r="J132" s="4">
        <v>1</v>
      </c>
      <c r="K132" s="2" t="str">
        <f t="shared" si="8"/>
        <v>resp-inc</v>
      </c>
      <c r="L132" s="2" t="s">
        <v>66</v>
      </c>
      <c r="M132" s="2" t="s">
        <v>56</v>
      </c>
      <c r="N132" t="s">
        <v>66</v>
      </c>
    </row>
    <row r="133" spans="1:14" ht="15" x14ac:dyDescent="0.25">
      <c r="A133" s="2" t="s">
        <v>5</v>
      </c>
      <c r="B133" s="2" t="s">
        <v>102</v>
      </c>
      <c r="C133" s="2" t="s">
        <v>12</v>
      </c>
      <c r="D133" s="2" t="s">
        <v>935</v>
      </c>
      <c r="E133" s="2">
        <v>8</v>
      </c>
      <c r="F133" s="3">
        <v>2</v>
      </c>
      <c r="G133" s="2">
        <v>40</v>
      </c>
      <c r="H133" s="8">
        <v>3</v>
      </c>
      <c r="J133" s="4">
        <v>3</v>
      </c>
      <c r="K133" s="2" t="str">
        <f t="shared" ref="K133:K142" si="11">IF(H133=J133,"resp-correct","resp-inc")</f>
        <v>resp-correct</v>
      </c>
      <c r="L133" s="2" t="s">
        <v>66</v>
      </c>
      <c r="M133" s="2" t="s">
        <v>58</v>
      </c>
      <c r="N133" t="s">
        <v>66</v>
      </c>
    </row>
    <row r="134" spans="1:14" ht="15" x14ac:dyDescent="0.25">
      <c r="A134" s="2" t="s">
        <v>5</v>
      </c>
      <c r="B134" s="2" t="s">
        <v>102</v>
      </c>
      <c r="C134" s="2" t="s">
        <v>12</v>
      </c>
      <c r="D134" s="2" t="s">
        <v>936</v>
      </c>
      <c r="E134" s="2">
        <v>8</v>
      </c>
      <c r="F134" s="3">
        <v>3</v>
      </c>
      <c r="G134" s="2">
        <v>41</v>
      </c>
      <c r="H134" s="8">
        <v>3</v>
      </c>
      <c r="J134" s="4">
        <v>2</v>
      </c>
      <c r="K134" s="2" t="str">
        <f t="shared" si="11"/>
        <v>resp-inc</v>
      </c>
      <c r="L134" s="2" t="s">
        <v>66</v>
      </c>
      <c r="M134" s="2" t="s">
        <v>58</v>
      </c>
      <c r="N134" t="s">
        <v>66</v>
      </c>
    </row>
    <row r="135" spans="1:14" ht="15" x14ac:dyDescent="0.25">
      <c r="A135" s="2" t="s">
        <v>5</v>
      </c>
      <c r="B135" s="2" t="s">
        <v>102</v>
      </c>
      <c r="C135" s="2" t="s">
        <v>12</v>
      </c>
      <c r="D135" s="2" t="s">
        <v>937</v>
      </c>
      <c r="E135" s="2">
        <v>8</v>
      </c>
      <c r="F135" s="3">
        <v>4</v>
      </c>
      <c r="G135" s="2">
        <v>42</v>
      </c>
      <c r="H135" s="8">
        <v>3</v>
      </c>
      <c r="J135" s="4">
        <v>2</v>
      </c>
      <c r="K135" s="2" t="str">
        <f t="shared" si="11"/>
        <v>resp-inc</v>
      </c>
      <c r="L135" s="2" t="s">
        <v>66</v>
      </c>
      <c r="M135" s="2" t="s">
        <v>58</v>
      </c>
      <c r="N135" t="s">
        <v>66</v>
      </c>
    </row>
    <row r="136" spans="1:14" ht="15" x14ac:dyDescent="0.25">
      <c r="A136" s="2" t="s">
        <v>5</v>
      </c>
      <c r="B136" s="2" t="s">
        <v>102</v>
      </c>
      <c r="C136" s="2" t="s">
        <v>12</v>
      </c>
      <c r="D136" s="2" t="s">
        <v>938</v>
      </c>
      <c r="E136" s="2">
        <v>8</v>
      </c>
      <c r="F136" s="3">
        <v>5</v>
      </c>
      <c r="G136" s="2">
        <v>43</v>
      </c>
      <c r="H136" s="8">
        <v>3</v>
      </c>
      <c r="J136" s="4">
        <v>3</v>
      </c>
      <c r="K136" s="2" t="str">
        <f t="shared" si="11"/>
        <v>resp-correct</v>
      </c>
      <c r="L136" s="2" t="s">
        <v>66</v>
      </c>
      <c r="M136" s="2" t="s">
        <v>58</v>
      </c>
      <c r="N136" t="s">
        <v>66</v>
      </c>
    </row>
    <row r="137" spans="1:14" ht="15" x14ac:dyDescent="0.25">
      <c r="A137" s="2" t="s">
        <v>5</v>
      </c>
      <c r="B137" s="2" t="s">
        <v>102</v>
      </c>
      <c r="C137" s="2" t="s">
        <v>99</v>
      </c>
      <c r="D137" s="2" t="s">
        <v>939</v>
      </c>
      <c r="E137" s="2">
        <v>9</v>
      </c>
      <c r="F137" s="3">
        <v>1</v>
      </c>
      <c r="G137" s="2">
        <v>44</v>
      </c>
      <c r="H137" s="8">
        <v>3</v>
      </c>
      <c r="J137" s="4">
        <v>3</v>
      </c>
      <c r="K137" s="2" t="str">
        <f t="shared" si="11"/>
        <v>resp-correct</v>
      </c>
      <c r="L137" s="2" t="s">
        <v>66</v>
      </c>
      <c r="M137" s="2" t="s">
        <v>56</v>
      </c>
      <c r="N137" t="s">
        <v>66</v>
      </c>
    </row>
    <row r="138" spans="1:14" ht="15" x14ac:dyDescent="0.25">
      <c r="A138" s="2" t="s">
        <v>5</v>
      </c>
      <c r="B138" s="2" t="s">
        <v>102</v>
      </c>
      <c r="C138" s="2" t="s">
        <v>99</v>
      </c>
      <c r="D138" s="2" t="s">
        <v>940</v>
      </c>
      <c r="E138" s="2">
        <v>9</v>
      </c>
      <c r="F138" s="3">
        <v>2</v>
      </c>
      <c r="G138" s="2">
        <v>45</v>
      </c>
      <c r="H138" s="8">
        <v>3</v>
      </c>
      <c r="J138" s="4">
        <v>1</v>
      </c>
      <c r="K138" s="2" t="str">
        <f t="shared" si="11"/>
        <v>resp-inc</v>
      </c>
      <c r="L138" s="2" t="s">
        <v>66</v>
      </c>
      <c r="M138" s="2" t="s">
        <v>56</v>
      </c>
      <c r="N138" t="s">
        <v>66</v>
      </c>
    </row>
    <row r="139" spans="1:14" ht="15" x14ac:dyDescent="0.25">
      <c r="A139" s="2" t="s">
        <v>5</v>
      </c>
      <c r="B139" s="2" t="s">
        <v>102</v>
      </c>
      <c r="C139" s="2" t="s">
        <v>99</v>
      </c>
      <c r="D139" s="2" t="s">
        <v>941</v>
      </c>
      <c r="E139" s="2">
        <v>9</v>
      </c>
      <c r="F139" s="3">
        <v>3</v>
      </c>
      <c r="G139" s="2">
        <v>46</v>
      </c>
      <c r="H139" s="8">
        <v>4</v>
      </c>
      <c r="J139" s="4">
        <v>4</v>
      </c>
      <c r="K139" s="2" t="str">
        <f t="shared" si="11"/>
        <v>resp-correct</v>
      </c>
      <c r="L139" s="2" t="s">
        <v>66</v>
      </c>
      <c r="M139" s="2" t="s">
        <v>56</v>
      </c>
      <c r="N139" t="s">
        <v>66</v>
      </c>
    </row>
    <row r="140" spans="1:14" ht="15" x14ac:dyDescent="0.25">
      <c r="A140" s="2" t="s">
        <v>5</v>
      </c>
      <c r="B140" s="2" t="s">
        <v>102</v>
      </c>
      <c r="C140" s="2" t="s">
        <v>99</v>
      </c>
      <c r="D140" s="2" t="s">
        <v>942</v>
      </c>
      <c r="E140" s="2">
        <v>9</v>
      </c>
      <c r="F140" s="3">
        <v>4</v>
      </c>
      <c r="G140" s="2">
        <v>47</v>
      </c>
      <c r="H140" s="8">
        <v>4</v>
      </c>
      <c r="J140" s="4">
        <v>3</v>
      </c>
      <c r="K140" s="2" t="str">
        <f t="shared" si="11"/>
        <v>resp-inc</v>
      </c>
      <c r="L140" s="2" t="s">
        <v>66</v>
      </c>
      <c r="M140" s="2" t="s">
        <v>56</v>
      </c>
      <c r="N140" t="s">
        <v>66</v>
      </c>
    </row>
    <row r="141" spans="1:14" ht="15" x14ac:dyDescent="0.25">
      <c r="A141" s="2" t="s">
        <v>5</v>
      </c>
      <c r="B141" s="2" t="s">
        <v>102</v>
      </c>
      <c r="C141" s="2" t="s">
        <v>6</v>
      </c>
      <c r="D141" s="2" t="s">
        <v>943</v>
      </c>
      <c r="E141" s="2">
        <v>10</v>
      </c>
      <c r="F141" s="3">
        <v>1</v>
      </c>
      <c r="G141" s="2">
        <v>48</v>
      </c>
      <c r="H141" s="8">
        <v>4</v>
      </c>
      <c r="J141" s="4">
        <v>4</v>
      </c>
      <c r="K141" s="2" t="str">
        <f t="shared" si="11"/>
        <v>resp-correct</v>
      </c>
      <c r="L141" s="2" t="s">
        <v>66</v>
      </c>
      <c r="M141" s="2" t="s">
        <v>48</v>
      </c>
      <c r="N141" t="s">
        <v>66</v>
      </c>
    </row>
    <row r="142" spans="1:14" ht="15" x14ac:dyDescent="0.25">
      <c r="A142" s="2" t="s">
        <v>5</v>
      </c>
      <c r="B142" s="2" t="s">
        <v>102</v>
      </c>
      <c r="C142" s="2" t="s">
        <v>6</v>
      </c>
      <c r="D142" s="2" t="s">
        <v>944</v>
      </c>
      <c r="E142" s="2">
        <v>10</v>
      </c>
      <c r="F142" s="3">
        <v>2</v>
      </c>
      <c r="G142" s="2">
        <v>49</v>
      </c>
      <c r="H142" s="8">
        <v>4</v>
      </c>
      <c r="J142" s="4">
        <v>1</v>
      </c>
      <c r="K142" s="2" t="str">
        <f t="shared" si="11"/>
        <v>resp-inc</v>
      </c>
      <c r="L142" s="2" t="s">
        <v>66</v>
      </c>
      <c r="M142" s="2" t="s">
        <v>53</v>
      </c>
      <c r="N142" t="s">
        <v>66</v>
      </c>
    </row>
    <row r="143" spans="1:14" ht="15" x14ac:dyDescent="0.25">
      <c r="A143" s="2" t="s">
        <v>5</v>
      </c>
      <c r="B143" s="2" t="s">
        <v>102</v>
      </c>
      <c r="C143" s="2" t="s">
        <v>6</v>
      </c>
      <c r="D143" s="2" t="s">
        <v>945</v>
      </c>
      <c r="E143" s="2">
        <v>10</v>
      </c>
      <c r="F143" s="3">
        <v>3</v>
      </c>
      <c r="G143" s="2">
        <v>50</v>
      </c>
      <c r="H143" s="8">
        <v>4</v>
      </c>
      <c r="J143" s="4">
        <v>4</v>
      </c>
      <c r="K143" s="2" t="str">
        <f t="shared" ref="K143:K146" si="12">IF(H143=J143,"resp-correct","resp-inc")</f>
        <v>resp-correct</v>
      </c>
      <c r="L143" s="2" t="s">
        <v>66</v>
      </c>
      <c r="M143" s="2" t="s">
        <v>800</v>
      </c>
      <c r="N143" t="s">
        <v>66</v>
      </c>
    </row>
    <row r="144" spans="1:14" ht="15" x14ac:dyDescent="0.25">
      <c r="A144" s="2" t="s">
        <v>5</v>
      </c>
      <c r="B144" s="2" t="s">
        <v>102</v>
      </c>
      <c r="C144" s="2" t="s">
        <v>6</v>
      </c>
      <c r="D144" s="2" t="s">
        <v>946</v>
      </c>
      <c r="E144" s="2">
        <v>10</v>
      </c>
      <c r="F144" s="3">
        <v>4</v>
      </c>
      <c r="G144" s="2">
        <v>51</v>
      </c>
      <c r="H144" s="8">
        <v>4</v>
      </c>
      <c r="J144" s="4">
        <v>3</v>
      </c>
      <c r="K144" s="2" t="str">
        <f t="shared" si="12"/>
        <v>resp-inc</v>
      </c>
      <c r="L144" s="2" t="s">
        <v>66</v>
      </c>
      <c r="M144" s="2" t="s">
        <v>804</v>
      </c>
      <c r="N144" t="s">
        <v>66</v>
      </c>
    </row>
    <row r="145" spans="1:14" ht="15" x14ac:dyDescent="0.25">
      <c r="A145" s="2" t="s">
        <v>5</v>
      </c>
      <c r="B145" s="2" t="s">
        <v>102</v>
      </c>
      <c r="C145" s="2" t="s">
        <v>6</v>
      </c>
      <c r="D145" s="2" t="s">
        <v>947</v>
      </c>
      <c r="E145" s="2">
        <v>10</v>
      </c>
      <c r="F145" s="3">
        <v>5</v>
      </c>
      <c r="G145" s="2">
        <v>52</v>
      </c>
      <c r="H145" s="8">
        <v>4</v>
      </c>
      <c r="J145" s="4">
        <v>4</v>
      </c>
      <c r="K145" s="2" t="str">
        <f t="shared" si="12"/>
        <v>resp-correct</v>
      </c>
      <c r="L145" s="2" t="s">
        <v>66</v>
      </c>
      <c r="M145" s="2" t="s">
        <v>53</v>
      </c>
      <c r="N145" t="s">
        <v>66</v>
      </c>
    </row>
    <row r="146" spans="1:14" x14ac:dyDescent="0.2">
      <c r="A146" s="2" t="s">
        <v>955</v>
      </c>
      <c r="B146" s="2" t="s">
        <v>956</v>
      </c>
      <c r="C146" s="2" t="s">
        <v>6</v>
      </c>
      <c r="D146" s="2" t="s">
        <v>60</v>
      </c>
      <c r="E146" s="2">
        <v>11</v>
      </c>
      <c r="F146" s="3">
        <v>1</v>
      </c>
      <c r="G146" s="2">
        <v>1</v>
      </c>
      <c r="H146" s="8">
        <v>4</v>
      </c>
      <c r="J146" s="2">
        <v>3</v>
      </c>
      <c r="K146" s="2" t="str">
        <f t="shared" si="12"/>
        <v>resp-inc</v>
      </c>
      <c r="M146" s="2" t="s">
        <v>60</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topLeftCell="D18" workbookViewId="0">
      <selection activeCell="J22" sqref="J22"/>
    </sheetView>
  </sheetViews>
  <sheetFormatPr defaultColWidth="31.5703125" defaultRowHeight="11.25" x14ac:dyDescent="0.2"/>
  <cols>
    <col min="1" max="1" width="9.5703125" style="9" customWidth="1" collapsed="1"/>
    <col min="2" max="2" width="8.85546875" style="9" customWidth="1" collapsed="1"/>
    <col min="3" max="3" width="41.42578125" style="9" customWidth="1" collapsed="1"/>
    <col min="4" max="4" width="5.140625" style="9" customWidth="1" collapsed="1"/>
    <col min="5" max="5" width="33.85546875" style="9" customWidth="1" collapsed="1"/>
    <col min="6" max="6" width="26.5703125" style="9" customWidth="1" collapsed="1"/>
    <col min="7" max="7" width="26" style="9" customWidth="1" collapsed="1"/>
    <col min="8" max="8" width="23.28515625" style="9" customWidth="1" collapsed="1"/>
    <col min="9" max="9" width="24.7109375" style="9" customWidth="1" collapsed="1"/>
    <col min="10" max="16384" width="31.5703125" style="9" collapsed="1"/>
  </cols>
  <sheetData>
    <row r="1" spans="1:10" s="10" customFormat="1" ht="22.5" x14ac:dyDescent="0.2">
      <c r="A1" s="10" t="s">
        <v>2</v>
      </c>
      <c r="B1" s="10" t="s">
        <v>72</v>
      </c>
      <c r="C1" s="10" t="s">
        <v>88</v>
      </c>
      <c r="D1" s="10" t="s">
        <v>0</v>
      </c>
      <c r="E1" s="10" t="s">
        <v>1</v>
      </c>
      <c r="F1" s="10" t="s">
        <v>89</v>
      </c>
      <c r="G1" s="10" t="s">
        <v>90</v>
      </c>
      <c r="H1" s="10" t="s">
        <v>91</v>
      </c>
      <c r="I1" s="10" t="s">
        <v>92</v>
      </c>
      <c r="J1" s="10" t="s">
        <v>93</v>
      </c>
    </row>
    <row r="2" spans="1:10" ht="45" x14ac:dyDescent="0.2">
      <c r="A2" s="1" t="s">
        <v>3</v>
      </c>
      <c r="B2" s="16">
        <v>1</v>
      </c>
      <c r="E2" s="1" t="s">
        <v>128</v>
      </c>
      <c r="F2" s="1" t="s">
        <v>130</v>
      </c>
      <c r="G2" s="1" t="s">
        <v>131</v>
      </c>
      <c r="H2" s="1" t="s">
        <v>132</v>
      </c>
      <c r="I2" s="1" t="s">
        <v>133</v>
      </c>
    </row>
    <row r="3" spans="1:10" ht="22.5" x14ac:dyDescent="0.2">
      <c r="A3" s="1" t="s">
        <v>3</v>
      </c>
      <c r="B3" s="16">
        <v>2</v>
      </c>
      <c r="E3" s="1" t="s">
        <v>134</v>
      </c>
      <c r="F3" s="1" t="s">
        <v>136</v>
      </c>
      <c r="G3" s="1" t="s">
        <v>137</v>
      </c>
      <c r="H3" s="1" t="s">
        <v>138</v>
      </c>
      <c r="I3" s="1" t="s">
        <v>139</v>
      </c>
    </row>
    <row r="4" spans="1:10" ht="33.75" x14ac:dyDescent="0.2">
      <c r="A4" s="1" t="s">
        <v>3</v>
      </c>
      <c r="B4" s="16">
        <v>3</v>
      </c>
      <c r="E4" s="1" t="s">
        <v>140</v>
      </c>
      <c r="F4" s="1" t="s">
        <v>129</v>
      </c>
      <c r="G4" s="1" t="s">
        <v>111</v>
      </c>
      <c r="H4" s="1" t="s">
        <v>111</v>
      </c>
      <c r="I4" s="1" t="s">
        <v>111</v>
      </c>
    </row>
    <row r="5" spans="1:10" ht="22.5" x14ac:dyDescent="0.2">
      <c r="A5" s="1" t="s">
        <v>3</v>
      </c>
      <c r="B5" s="16">
        <v>4</v>
      </c>
      <c r="E5" s="1" t="s">
        <v>142</v>
      </c>
      <c r="F5" s="1" t="s">
        <v>144</v>
      </c>
      <c r="G5" s="1" t="s">
        <v>145</v>
      </c>
      <c r="H5" s="1" t="s">
        <v>146</v>
      </c>
      <c r="I5" s="1" t="s">
        <v>147</v>
      </c>
    </row>
    <row r="6" spans="1:10" ht="22.5" x14ac:dyDescent="0.2">
      <c r="A6" s="1" t="s">
        <v>3</v>
      </c>
      <c r="B6" s="16">
        <v>5</v>
      </c>
      <c r="C6" s="1" t="s">
        <v>153</v>
      </c>
      <c r="E6" s="1" t="s">
        <v>148</v>
      </c>
      <c r="F6" s="1" t="s">
        <v>149</v>
      </c>
      <c r="G6" s="1" t="s">
        <v>150</v>
      </c>
      <c r="H6" s="1" t="s">
        <v>151</v>
      </c>
      <c r="I6" s="1" t="s">
        <v>152</v>
      </c>
    </row>
    <row r="7" spans="1:10" ht="33.75" x14ac:dyDescent="0.2">
      <c r="A7" s="1" t="s">
        <v>3</v>
      </c>
      <c r="B7" s="16">
        <v>6</v>
      </c>
      <c r="E7" s="1" t="s">
        <v>154</v>
      </c>
      <c r="F7" s="1" t="s">
        <v>156</v>
      </c>
      <c r="G7" s="1" t="s">
        <v>157</v>
      </c>
      <c r="H7" s="1" t="s">
        <v>158</v>
      </c>
      <c r="I7" s="1" t="s">
        <v>159</v>
      </c>
    </row>
    <row r="8" spans="1:10" ht="67.5" x14ac:dyDescent="0.2">
      <c r="A8" s="1" t="s">
        <v>3</v>
      </c>
      <c r="B8" s="16">
        <v>7</v>
      </c>
      <c r="E8" s="1" t="s">
        <v>160</v>
      </c>
      <c r="F8" s="1" t="s">
        <v>112</v>
      </c>
      <c r="G8" s="1" t="s">
        <v>107</v>
      </c>
      <c r="H8" s="1" t="s">
        <v>109</v>
      </c>
      <c r="I8" s="1" t="s">
        <v>108</v>
      </c>
    </row>
    <row r="9" spans="1:10" ht="67.5" x14ac:dyDescent="0.2">
      <c r="A9" s="1" t="s">
        <v>3</v>
      </c>
      <c r="B9" s="16">
        <v>8</v>
      </c>
      <c r="E9" s="1" t="s">
        <v>161</v>
      </c>
      <c r="F9" s="1" t="s">
        <v>162</v>
      </c>
      <c r="G9" s="1" t="s">
        <v>163</v>
      </c>
      <c r="H9" s="1" t="s">
        <v>164</v>
      </c>
      <c r="I9" s="1" t="s">
        <v>165</v>
      </c>
    </row>
    <row r="10" spans="1:10" ht="33.75" x14ac:dyDescent="0.2">
      <c r="A10" s="1" t="s">
        <v>3</v>
      </c>
      <c r="B10" s="16">
        <v>9</v>
      </c>
      <c r="C10" s="2" t="s">
        <v>171</v>
      </c>
      <c r="E10" s="1" t="s">
        <v>166</v>
      </c>
      <c r="F10" s="1" t="s">
        <v>167</v>
      </c>
      <c r="G10" s="1" t="s">
        <v>168</v>
      </c>
      <c r="H10" s="1" t="s">
        <v>169</v>
      </c>
      <c r="I10" s="1" t="s">
        <v>170</v>
      </c>
    </row>
    <row r="11" spans="1:10" ht="45" x14ac:dyDescent="0.2">
      <c r="A11" s="1" t="s">
        <v>3</v>
      </c>
      <c r="B11" s="16">
        <v>10</v>
      </c>
      <c r="C11" s="1"/>
      <c r="E11" s="1" t="s">
        <v>172</v>
      </c>
      <c r="F11" s="1" t="s">
        <v>173</v>
      </c>
      <c r="G11" s="1" t="s">
        <v>174</v>
      </c>
      <c r="H11" s="1" t="s">
        <v>175</v>
      </c>
      <c r="I11" s="1" t="s">
        <v>176</v>
      </c>
    </row>
    <row r="12" spans="1:10" ht="78.75" x14ac:dyDescent="0.2">
      <c r="A12" s="1" t="s">
        <v>3</v>
      </c>
      <c r="B12" s="16">
        <v>11</v>
      </c>
      <c r="E12" s="1" t="s">
        <v>177</v>
      </c>
      <c r="F12" s="1" t="s">
        <v>178</v>
      </c>
      <c r="G12" s="1" t="s">
        <v>179</v>
      </c>
      <c r="H12" s="1" t="s">
        <v>180</v>
      </c>
      <c r="I12" s="1" t="s">
        <v>181</v>
      </c>
    </row>
    <row r="13" spans="1:10" ht="45" x14ac:dyDescent="0.2">
      <c r="A13" s="1" t="s">
        <v>3</v>
      </c>
      <c r="B13" s="16">
        <v>12</v>
      </c>
      <c r="E13" s="1" t="s">
        <v>182</v>
      </c>
      <c r="F13" s="1" t="s">
        <v>183</v>
      </c>
      <c r="G13" s="1" t="s">
        <v>184</v>
      </c>
      <c r="H13" s="1" t="s">
        <v>185</v>
      </c>
      <c r="I13" s="1" t="s">
        <v>186</v>
      </c>
    </row>
    <row r="14" spans="1:10" ht="56.25" x14ac:dyDescent="0.2">
      <c r="A14" s="1" t="s">
        <v>3</v>
      </c>
      <c r="B14" s="16">
        <v>13</v>
      </c>
      <c r="C14" s="2" t="s">
        <v>117</v>
      </c>
      <c r="E14" s="1" t="s">
        <v>187</v>
      </c>
      <c r="F14" s="1" t="s">
        <v>188</v>
      </c>
      <c r="G14" s="1" t="s">
        <v>189</v>
      </c>
      <c r="H14" s="1" t="s">
        <v>190</v>
      </c>
      <c r="I14" s="1" t="s">
        <v>191</v>
      </c>
    </row>
    <row r="15" spans="1:10" ht="22.5" x14ac:dyDescent="0.2">
      <c r="A15" s="1" t="s">
        <v>3</v>
      </c>
      <c r="B15" s="16">
        <v>14</v>
      </c>
      <c r="C15" s="1"/>
      <c r="E15" s="1" t="s">
        <v>192</v>
      </c>
      <c r="F15" s="1" t="s">
        <v>193</v>
      </c>
      <c r="G15" s="1" t="s">
        <v>194</v>
      </c>
      <c r="H15" s="1" t="s">
        <v>195</v>
      </c>
      <c r="I15" s="1" t="s">
        <v>196</v>
      </c>
    </row>
    <row r="16" spans="1:10" ht="22.5" x14ac:dyDescent="0.2">
      <c r="A16" s="1" t="s">
        <v>3</v>
      </c>
      <c r="B16" s="16">
        <v>15</v>
      </c>
      <c r="E16" s="1" t="s">
        <v>197</v>
      </c>
      <c r="F16" s="1" t="s">
        <v>198</v>
      </c>
      <c r="G16" s="1" t="s">
        <v>199</v>
      </c>
      <c r="H16" s="1" t="s">
        <v>200</v>
      </c>
      <c r="I16" s="1" t="s">
        <v>201</v>
      </c>
    </row>
    <row r="17" spans="1:9" ht="22.5" x14ac:dyDescent="0.2">
      <c r="A17" s="1" t="s">
        <v>3</v>
      </c>
      <c r="B17" s="16">
        <v>16</v>
      </c>
      <c r="E17" s="1" t="s">
        <v>202</v>
      </c>
      <c r="F17" s="1" t="s">
        <v>203</v>
      </c>
      <c r="G17" s="1" t="s">
        <v>204</v>
      </c>
      <c r="H17" s="1" t="s">
        <v>205</v>
      </c>
      <c r="I17" s="1" t="s">
        <v>120</v>
      </c>
    </row>
    <row r="18" spans="1:9" ht="33.75" x14ac:dyDescent="0.2">
      <c r="A18" s="1" t="s">
        <v>3</v>
      </c>
      <c r="B18" s="16">
        <v>17</v>
      </c>
      <c r="E18" s="1" t="s">
        <v>206</v>
      </c>
      <c r="F18" s="1" t="s">
        <v>207</v>
      </c>
      <c r="G18" s="1" t="s">
        <v>208</v>
      </c>
      <c r="H18" s="1" t="s">
        <v>209</v>
      </c>
      <c r="I18" s="1" t="s">
        <v>210</v>
      </c>
    </row>
    <row r="19" spans="1:9" ht="67.5" x14ac:dyDescent="0.2">
      <c r="A19" s="1" t="s">
        <v>3</v>
      </c>
      <c r="B19" s="16">
        <v>18</v>
      </c>
      <c r="C19" s="1"/>
      <c r="E19" s="1" t="s">
        <v>211</v>
      </c>
      <c r="F19" s="1" t="s">
        <v>212</v>
      </c>
      <c r="G19" s="1" t="s">
        <v>213</v>
      </c>
      <c r="H19" s="1" t="s">
        <v>214</v>
      </c>
      <c r="I19" s="1" t="s">
        <v>215</v>
      </c>
    </row>
    <row r="20" spans="1:9" ht="22.5" x14ac:dyDescent="0.2">
      <c r="A20" s="1" t="s">
        <v>3</v>
      </c>
      <c r="B20" s="16">
        <v>19</v>
      </c>
      <c r="E20" s="1" t="s">
        <v>216</v>
      </c>
      <c r="F20" s="1" t="s">
        <v>217</v>
      </c>
      <c r="G20" s="1" t="s">
        <v>218</v>
      </c>
      <c r="H20" s="1" t="s">
        <v>219</v>
      </c>
      <c r="I20" s="1" t="s">
        <v>220</v>
      </c>
    </row>
    <row r="21" spans="1:9" ht="22.5" x14ac:dyDescent="0.2">
      <c r="A21" s="1" t="s">
        <v>3</v>
      </c>
      <c r="B21" s="16">
        <v>20</v>
      </c>
      <c r="C21" s="2" t="s">
        <v>225</v>
      </c>
      <c r="E21" s="1" t="s">
        <v>221</v>
      </c>
      <c r="F21" s="1" t="s">
        <v>118</v>
      </c>
      <c r="G21" s="1" t="s">
        <v>222</v>
      </c>
      <c r="H21" s="1" t="s">
        <v>223</v>
      </c>
      <c r="I21" s="1" t="s">
        <v>224</v>
      </c>
    </row>
    <row r="22" spans="1:9" ht="33.75" x14ac:dyDescent="0.2">
      <c r="A22" s="1" t="s">
        <v>3</v>
      </c>
      <c r="B22" s="16">
        <v>21</v>
      </c>
      <c r="E22" s="1" t="s">
        <v>226</v>
      </c>
      <c r="F22" s="1" t="s">
        <v>227</v>
      </c>
      <c r="G22" s="1" t="s">
        <v>228</v>
      </c>
      <c r="H22" s="1" t="s">
        <v>229</v>
      </c>
      <c r="I22" s="1" t="s">
        <v>230</v>
      </c>
    </row>
    <row r="23" spans="1:9" ht="22.5" x14ac:dyDescent="0.2">
      <c r="A23" s="1" t="s">
        <v>3</v>
      </c>
      <c r="B23" s="16">
        <v>22</v>
      </c>
      <c r="E23" s="1" t="s">
        <v>231</v>
      </c>
      <c r="F23" s="1" t="s">
        <v>232</v>
      </c>
      <c r="G23" s="1" t="s">
        <v>233</v>
      </c>
      <c r="H23" s="1" t="s">
        <v>234</v>
      </c>
      <c r="I23" s="1" t="s">
        <v>235</v>
      </c>
    </row>
    <row r="24" spans="1:9" ht="33.75" x14ac:dyDescent="0.2">
      <c r="A24" s="1" t="s">
        <v>3</v>
      </c>
      <c r="B24" s="16">
        <v>23</v>
      </c>
      <c r="C24" s="1"/>
      <c r="E24" s="1" t="s">
        <v>236</v>
      </c>
      <c r="F24" s="1" t="s">
        <v>237</v>
      </c>
      <c r="G24" s="1" t="s">
        <v>238</v>
      </c>
      <c r="H24" s="1" t="s">
        <v>239</v>
      </c>
      <c r="I24" s="1" t="s">
        <v>240</v>
      </c>
    </row>
    <row r="25" spans="1:9" ht="45" x14ac:dyDescent="0.2">
      <c r="A25" s="1" t="s">
        <v>3</v>
      </c>
      <c r="B25" s="16">
        <v>24</v>
      </c>
      <c r="E25" s="1" t="s">
        <v>241</v>
      </c>
      <c r="F25" s="1" t="s">
        <v>242</v>
      </c>
      <c r="G25" s="1" t="s">
        <v>243</v>
      </c>
      <c r="H25" s="1" t="s">
        <v>244</v>
      </c>
      <c r="I25" s="1" t="s">
        <v>245</v>
      </c>
    </row>
    <row r="26" spans="1:9" ht="112.5" x14ac:dyDescent="0.2">
      <c r="A26" s="1" t="s">
        <v>3</v>
      </c>
      <c r="B26" s="16">
        <v>25</v>
      </c>
      <c r="C26" s="2" t="s">
        <v>251</v>
      </c>
      <c r="E26" s="1" t="s">
        <v>246</v>
      </c>
      <c r="F26" s="1" t="s">
        <v>247</v>
      </c>
      <c r="G26" s="1" t="s">
        <v>248</v>
      </c>
      <c r="H26" s="1" t="s">
        <v>249</v>
      </c>
      <c r="I26" s="1" t="s">
        <v>250</v>
      </c>
    </row>
    <row r="27" spans="1:9" ht="45" x14ac:dyDescent="0.2">
      <c r="A27" s="1" t="s">
        <v>3</v>
      </c>
      <c r="B27" s="16">
        <v>26</v>
      </c>
      <c r="E27" s="1" t="s">
        <v>252</v>
      </c>
      <c r="F27" s="1" t="s">
        <v>253</v>
      </c>
      <c r="G27" s="1" t="s">
        <v>254</v>
      </c>
      <c r="H27" s="1" t="s">
        <v>255</v>
      </c>
      <c r="I27" s="1" t="s">
        <v>256</v>
      </c>
    </row>
    <row r="28" spans="1:9" ht="56.25" x14ac:dyDescent="0.2">
      <c r="A28" s="1" t="s">
        <v>3</v>
      </c>
      <c r="B28" s="16">
        <v>27</v>
      </c>
      <c r="C28" s="1"/>
      <c r="E28" s="1" t="s">
        <v>257</v>
      </c>
      <c r="F28" s="1" t="s">
        <v>258</v>
      </c>
      <c r="G28" s="1" t="s">
        <v>259</v>
      </c>
      <c r="H28" s="1" t="s">
        <v>260</v>
      </c>
      <c r="I28" s="1" t="s">
        <v>261</v>
      </c>
    </row>
    <row r="29" spans="1:9" ht="22.5" x14ac:dyDescent="0.2">
      <c r="A29" s="1" t="s">
        <v>3</v>
      </c>
      <c r="B29" s="16">
        <v>28</v>
      </c>
      <c r="E29" s="1" t="s">
        <v>262</v>
      </c>
      <c r="F29" s="1" t="s">
        <v>263</v>
      </c>
      <c r="G29" s="1" t="s">
        <v>264</v>
      </c>
      <c r="H29" s="1" t="s">
        <v>265</v>
      </c>
      <c r="I29" s="1" t="s">
        <v>266</v>
      </c>
    </row>
    <row r="30" spans="1:9" ht="78.75" x14ac:dyDescent="0.2">
      <c r="A30" s="1" t="s">
        <v>3</v>
      </c>
      <c r="B30" s="16">
        <v>29</v>
      </c>
      <c r="C30" s="2" t="s">
        <v>117</v>
      </c>
      <c r="E30" s="1" t="s">
        <v>267</v>
      </c>
      <c r="F30" s="1" t="s">
        <v>268</v>
      </c>
      <c r="G30" s="1" t="s">
        <v>111</v>
      </c>
      <c r="H30" s="1" t="s">
        <v>155</v>
      </c>
      <c r="I30" s="1" t="s">
        <v>269</v>
      </c>
    </row>
    <row r="31" spans="1:9" ht="67.5" x14ac:dyDescent="0.2">
      <c r="A31" s="1" t="s">
        <v>3</v>
      </c>
      <c r="B31" s="16">
        <v>30</v>
      </c>
      <c r="E31" s="1" t="s">
        <v>270</v>
      </c>
      <c r="F31" s="1" t="s">
        <v>111</v>
      </c>
      <c r="G31" s="1" t="s">
        <v>111</v>
      </c>
      <c r="H31" s="1" t="s">
        <v>111</v>
      </c>
      <c r="I31" s="1" t="s">
        <v>111</v>
      </c>
    </row>
    <row r="32" spans="1:9" ht="45" x14ac:dyDescent="0.2">
      <c r="A32" s="1" t="s">
        <v>3</v>
      </c>
      <c r="B32" s="16">
        <v>31</v>
      </c>
      <c r="E32" s="1" t="s">
        <v>271</v>
      </c>
      <c r="F32" s="1" t="s">
        <v>272</v>
      </c>
      <c r="G32" s="1" t="s">
        <v>273</v>
      </c>
      <c r="H32" s="1" t="s">
        <v>274</v>
      </c>
      <c r="I32" s="1" t="s">
        <v>275</v>
      </c>
    </row>
    <row r="33" spans="1:9" ht="22.5" x14ac:dyDescent="0.2">
      <c r="A33" s="1" t="s">
        <v>3</v>
      </c>
      <c r="B33" s="16">
        <v>32</v>
      </c>
      <c r="E33" s="1" t="s">
        <v>276</v>
      </c>
      <c r="F33" s="1" t="s">
        <v>130</v>
      </c>
      <c r="G33" s="1" t="s">
        <v>131</v>
      </c>
      <c r="H33" s="1" t="s">
        <v>132</v>
      </c>
      <c r="I33" s="1" t="s">
        <v>277</v>
      </c>
    </row>
    <row r="34" spans="1:9" ht="67.5" x14ac:dyDescent="0.2">
      <c r="A34" s="1" t="s">
        <v>3</v>
      </c>
      <c r="B34" s="16">
        <v>33</v>
      </c>
      <c r="E34" s="1" t="s">
        <v>278</v>
      </c>
      <c r="F34" s="1" t="s">
        <v>111</v>
      </c>
      <c r="G34" s="1" t="s">
        <v>111</v>
      </c>
      <c r="H34" s="1" t="s">
        <v>111</v>
      </c>
      <c r="I34" s="1" t="s">
        <v>111</v>
      </c>
    </row>
    <row r="35" spans="1:9" ht="22.5" x14ac:dyDescent="0.2">
      <c r="A35" s="1" t="s">
        <v>3</v>
      </c>
      <c r="B35" s="16">
        <v>34</v>
      </c>
      <c r="C35" s="1"/>
      <c r="E35" s="1" t="s">
        <v>279</v>
      </c>
      <c r="F35" s="1" t="s">
        <v>111</v>
      </c>
      <c r="G35" s="1" t="s">
        <v>111</v>
      </c>
      <c r="H35" s="1" t="s">
        <v>111</v>
      </c>
      <c r="I35" s="1" t="s">
        <v>111</v>
      </c>
    </row>
    <row r="36" spans="1:9" ht="22.5" x14ac:dyDescent="0.2">
      <c r="A36" s="1" t="s">
        <v>3</v>
      </c>
      <c r="B36" s="16">
        <v>35</v>
      </c>
      <c r="C36" s="2" t="s">
        <v>285</v>
      </c>
      <c r="E36" s="1" t="s">
        <v>280</v>
      </c>
      <c r="F36" s="1" t="s">
        <v>281</v>
      </c>
      <c r="G36" s="1" t="s">
        <v>282</v>
      </c>
      <c r="H36" s="1" t="s">
        <v>283</v>
      </c>
      <c r="I36" s="1" t="s">
        <v>284</v>
      </c>
    </row>
    <row r="37" spans="1:9" ht="45" x14ac:dyDescent="0.2">
      <c r="A37" s="1" t="s">
        <v>3</v>
      </c>
      <c r="B37" s="16">
        <v>36</v>
      </c>
      <c r="E37" s="1" t="s">
        <v>286</v>
      </c>
      <c r="F37" s="1" t="s">
        <v>287</v>
      </c>
      <c r="G37" s="1" t="s">
        <v>288</v>
      </c>
      <c r="H37" s="1" t="s">
        <v>289</v>
      </c>
      <c r="I37" s="1" t="s">
        <v>290</v>
      </c>
    </row>
    <row r="38" spans="1:9" ht="67.5" x14ac:dyDescent="0.2">
      <c r="A38" s="1" t="s">
        <v>3</v>
      </c>
      <c r="B38" s="16">
        <v>37</v>
      </c>
      <c r="E38" s="1" t="s">
        <v>291</v>
      </c>
      <c r="F38" s="1" t="s">
        <v>292</v>
      </c>
      <c r="G38" s="1" t="s">
        <v>293</v>
      </c>
      <c r="H38" s="1" t="s">
        <v>293</v>
      </c>
      <c r="I38" s="1" t="s">
        <v>294</v>
      </c>
    </row>
    <row r="39" spans="1:9" ht="22.5" x14ac:dyDescent="0.2">
      <c r="A39" s="1" t="s">
        <v>3</v>
      </c>
      <c r="B39" s="16">
        <v>38</v>
      </c>
      <c r="E39" s="1" t="s">
        <v>295</v>
      </c>
      <c r="F39" s="1" t="s">
        <v>112</v>
      </c>
      <c r="G39" s="1" t="s">
        <v>107</v>
      </c>
      <c r="H39" s="1" t="s">
        <v>109</v>
      </c>
      <c r="I39" s="1" t="s">
        <v>108</v>
      </c>
    </row>
    <row r="40" spans="1:9" ht="45" x14ac:dyDescent="0.2">
      <c r="A40" s="1" t="s">
        <v>3</v>
      </c>
      <c r="B40" s="16">
        <v>39</v>
      </c>
      <c r="C40" s="1"/>
      <c r="E40" s="1" t="s">
        <v>296</v>
      </c>
      <c r="F40" s="1" t="s">
        <v>297</v>
      </c>
      <c r="G40" s="1" t="s">
        <v>298</v>
      </c>
      <c r="H40" s="1" t="s">
        <v>299</v>
      </c>
      <c r="I40" s="1" t="s">
        <v>300</v>
      </c>
    </row>
    <row r="41" spans="1:9" ht="22.5" x14ac:dyDescent="0.2">
      <c r="A41" s="1" t="s">
        <v>3</v>
      </c>
      <c r="B41" s="16">
        <v>40</v>
      </c>
      <c r="E41" s="1" t="s">
        <v>301</v>
      </c>
      <c r="F41" s="1" t="s">
        <v>302</v>
      </c>
      <c r="G41" s="1" t="s">
        <v>183</v>
      </c>
      <c r="H41" s="1" t="s">
        <v>303</v>
      </c>
      <c r="I41" s="1" t="s">
        <v>304</v>
      </c>
    </row>
    <row r="42" spans="1:9" ht="33.75" x14ac:dyDescent="0.2">
      <c r="A42" s="1" t="s">
        <v>3</v>
      </c>
      <c r="B42" s="16">
        <v>41</v>
      </c>
      <c r="C42" s="2" t="s">
        <v>310</v>
      </c>
      <c r="E42" s="1" t="s">
        <v>305</v>
      </c>
      <c r="F42" s="1" t="s">
        <v>306</v>
      </c>
      <c r="G42" s="1" t="s">
        <v>307</v>
      </c>
      <c r="H42" s="1" t="s">
        <v>308</v>
      </c>
      <c r="I42" s="1" t="s">
        <v>309</v>
      </c>
    </row>
    <row r="43" spans="1:9" ht="22.5" x14ac:dyDescent="0.2">
      <c r="A43" s="1" t="s">
        <v>3</v>
      </c>
      <c r="B43" s="16">
        <v>42</v>
      </c>
      <c r="E43" s="1" t="s">
        <v>311</v>
      </c>
      <c r="F43" s="1" t="s">
        <v>312</v>
      </c>
      <c r="G43" s="1" t="s">
        <v>313</v>
      </c>
      <c r="H43" s="1" t="s">
        <v>314</v>
      </c>
      <c r="I43" s="1" t="s">
        <v>315</v>
      </c>
    </row>
    <row r="44" spans="1:9" ht="101.25" x14ac:dyDescent="0.2">
      <c r="A44" s="1" t="s">
        <v>3</v>
      </c>
      <c r="B44" s="16">
        <v>43</v>
      </c>
      <c r="E44" s="1" t="s">
        <v>316</v>
      </c>
      <c r="F44" s="1" t="s">
        <v>317</v>
      </c>
      <c r="G44" s="1" t="s">
        <v>318</v>
      </c>
      <c r="H44" s="1" t="s">
        <v>319</v>
      </c>
      <c r="I44" s="1" t="s">
        <v>320</v>
      </c>
    </row>
    <row r="45" spans="1:9" ht="33.75" x14ac:dyDescent="0.2">
      <c r="A45" s="1" t="s">
        <v>3</v>
      </c>
      <c r="B45" s="16">
        <v>44</v>
      </c>
      <c r="E45" s="1" t="s">
        <v>321</v>
      </c>
      <c r="F45" s="1" t="s">
        <v>322</v>
      </c>
      <c r="G45" s="1" t="s">
        <v>323</v>
      </c>
      <c r="H45" s="1" t="s">
        <v>324</v>
      </c>
      <c r="I45" s="1" t="s">
        <v>325</v>
      </c>
    </row>
    <row r="46" spans="1:9" ht="33.75" x14ac:dyDescent="0.2">
      <c r="A46" s="1" t="s">
        <v>3</v>
      </c>
      <c r="B46" s="16">
        <v>45</v>
      </c>
      <c r="E46" s="1" t="s">
        <v>326</v>
      </c>
      <c r="F46" s="1" t="s">
        <v>111</v>
      </c>
      <c r="G46" s="1" t="s">
        <v>111</v>
      </c>
      <c r="H46" s="1" t="s">
        <v>111</v>
      </c>
      <c r="I46" s="1" t="s">
        <v>111</v>
      </c>
    </row>
    <row r="47" spans="1:9" ht="45" x14ac:dyDescent="0.2">
      <c r="A47" s="1" t="s">
        <v>3</v>
      </c>
      <c r="B47" s="16">
        <v>46</v>
      </c>
      <c r="E47" s="1" t="s">
        <v>327</v>
      </c>
      <c r="F47" s="1" t="s">
        <v>328</v>
      </c>
      <c r="G47" s="1" t="s">
        <v>129</v>
      </c>
      <c r="H47" s="1" t="s">
        <v>111</v>
      </c>
      <c r="I47" s="1" t="s">
        <v>135</v>
      </c>
    </row>
    <row r="48" spans="1:9" ht="67.5" x14ac:dyDescent="0.2">
      <c r="A48" s="1" t="s">
        <v>3</v>
      </c>
      <c r="B48" s="16">
        <v>47</v>
      </c>
      <c r="C48" s="1" t="s">
        <v>334</v>
      </c>
      <c r="E48" s="1" t="s">
        <v>329</v>
      </c>
      <c r="F48" s="1" t="s">
        <v>330</v>
      </c>
      <c r="G48" s="1" t="s">
        <v>331</v>
      </c>
      <c r="H48" s="1" t="s">
        <v>332</v>
      </c>
      <c r="I48" s="1" t="s">
        <v>333</v>
      </c>
    </row>
    <row r="49" spans="1:9" ht="45" x14ac:dyDescent="0.2">
      <c r="A49" s="1" t="s">
        <v>3</v>
      </c>
      <c r="B49" s="16">
        <v>48</v>
      </c>
      <c r="E49" s="1" t="s">
        <v>335</v>
      </c>
      <c r="F49" s="1" t="s">
        <v>111</v>
      </c>
      <c r="G49" s="1" t="s">
        <v>111</v>
      </c>
      <c r="H49" s="1" t="s">
        <v>111</v>
      </c>
      <c r="I49" s="1" t="s">
        <v>111</v>
      </c>
    </row>
    <row r="50" spans="1:9" ht="56.25" x14ac:dyDescent="0.2">
      <c r="A50" s="1" t="s">
        <v>3</v>
      </c>
      <c r="B50" s="16">
        <v>49</v>
      </c>
      <c r="E50" s="1" t="s">
        <v>336</v>
      </c>
      <c r="F50" s="1" t="s">
        <v>337</v>
      </c>
      <c r="G50" s="1" t="s">
        <v>338</v>
      </c>
      <c r="H50" s="1" t="s">
        <v>339</v>
      </c>
      <c r="I50" s="1" t="s">
        <v>340</v>
      </c>
    </row>
    <row r="51" spans="1:9" ht="33.75" x14ac:dyDescent="0.2">
      <c r="A51" s="1" t="s">
        <v>3</v>
      </c>
      <c r="B51" s="16">
        <v>50</v>
      </c>
      <c r="E51" s="1" t="s">
        <v>341</v>
      </c>
      <c r="F51" s="1" t="s">
        <v>114</v>
      </c>
      <c r="G51" s="1" t="s">
        <v>222</v>
      </c>
      <c r="H51" s="1" t="s">
        <v>342</v>
      </c>
      <c r="I51" s="1" t="s">
        <v>343</v>
      </c>
    </row>
    <row r="52" spans="1:9" ht="56.25" x14ac:dyDescent="0.2">
      <c r="A52" s="1" t="s">
        <v>3</v>
      </c>
      <c r="B52" s="16">
        <v>51</v>
      </c>
      <c r="E52" s="1" t="s">
        <v>344</v>
      </c>
      <c r="F52" s="1" t="s">
        <v>345</v>
      </c>
      <c r="G52" s="1" t="s">
        <v>346</v>
      </c>
      <c r="H52" s="1" t="s">
        <v>347</v>
      </c>
      <c r="I52" s="1" t="s">
        <v>348</v>
      </c>
    </row>
    <row r="53" spans="1:9" ht="22.5" x14ac:dyDescent="0.2">
      <c r="A53" s="1" t="s">
        <v>3</v>
      </c>
      <c r="B53" s="16">
        <v>52</v>
      </c>
      <c r="C53" s="2" t="s">
        <v>117</v>
      </c>
      <c r="E53" s="1" t="s">
        <v>349</v>
      </c>
      <c r="F53" s="1" t="s">
        <v>350</v>
      </c>
      <c r="G53" s="1" t="s">
        <v>351</v>
      </c>
      <c r="H53" s="1" t="s">
        <v>352</v>
      </c>
      <c r="I53" s="1" t="s">
        <v>353</v>
      </c>
    </row>
    <row r="54" spans="1:9" ht="33.75" x14ac:dyDescent="0.2">
      <c r="A54" s="1" t="s">
        <v>4</v>
      </c>
      <c r="B54" s="16">
        <v>1</v>
      </c>
      <c r="E54" s="1" t="s">
        <v>354</v>
      </c>
      <c r="F54" s="1" t="s">
        <v>355</v>
      </c>
      <c r="G54" s="1" t="s">
        <v>356</v>
      </c>
      <c r="H54" s="1" t="s">
        <v>357</v>
      </c>
      <c r="I54" s="1" t="s">
        <v>358</v>
      </c>
    </row>
    <row r="55" spans="1:9" ht="56.25" x14ac:dyDescent="0.2">
      <c r="A55" s="1" t="s">
        <v>4</v>
      </c>
      <c r="B55" s="16">
        <v>2</v>
      </c>
      <c r="E55" s="1" t="s">
        <v>359</v>
      </c>
      <c r="F55" s="1" t="s">
        <v>360</v>
      </c>
      <c r="G55" s="1" t="s">
        <v>361</v>
      </c>
      <c r="H55" s="1" t="s">
        <v>362</v>
      </c>
      <c r="I55" s="1" t="s">
        <v>363</v>
      </c>
    </row>
    <row r="56" spans="1:9" ht="33.75" x14ac:dyDescent="0.2">
      <c r="A56" s="1" t="s">
        <v>4</v>
      </c>
      <c r="B56" s="16">
        <v>3</v>
      </c>
      <c r="E56" s="1" t="s">
        <v>364</v>
      </c>
      <c r="F56" s="1" t="s">
        <v>365</v>
      </c>
      <c r="G56" s="1" t="s">
        <v>366</v>
      </c>
      <c r="H56" s="1" t="s">
        <v>367</v>
      </c>
      <c r="I56" s="1" t="s">
        <v>368</v>
      </c>
    </row>
    <row r="57" spans="1:9" ht="45" x14ac:dyDescent="0.2">
      <c r="A57" s="1" t="s">
        <v>4</v>
      </c>
      <c r="B57" s="16">
        <v>4</v>
      </c>
      <c r="C57" s="1"/>
      <c r="E57" s="1" t="s">
        <v>369</v>
      </c>
      <c r="F57" s="1" t="s">
        <v>370</v>
      </c>
      <c r="G57" s="1" t="s">
        <v>371</v>
      </c>
      <c r="H57" s="1" t="s">
        <v>372</v>
      </c>
      <c r="I57" s="1" t="s">
        <v>373</v>
      </c>
    </row>
    <row r="58" spans="1:9" ht="45" x14ac:dyDescent="0.2">
      <c r="A58" s="1" t="s">
        <v>4</v>
      </c>
      <c r="B58" s="16">
        <v>5</v>
      </c>
      <c r="C58" s="2" t="s">
        <v>379</v>
      </c>
      <c r="E58" s="1" t="s">
        <v>374</v>
      </c>
      <c r="F58" s="1" t="s">
        <v>375</v>
      </c>
      <c r="G58" s="1" t="s">
        <v>376</v>
      </c>
      <c r="H58" s="1" t="s">
        <v>377</v>
      </c>
      <c r="I58" s="1" t="s">
        <v>378</v>
      </c>
    </row>
    <row r="59" spans="1:9" ht="33.75" x14ac:dyDescent="0.2">
      <c r="A59" s="1" t="s">
        <v>4</v>
      </c>
      <c r="B59" s="16">
        <v>6</v>
      </c>
      <c r="E59" s="1" t="s">
        <v>380</v>
      </c>
      <c r="F59" s="1" t="s">
        <v>381</v>
      </c>
      <c r="G59" s="1" t="s">
        <v>382</v>
      </c>
      <c r="H59" s="1" t="s">
        <v>383</v>
      </c>
      <c r="I59" s="1" t="s">
        <v>384</v>
      </c>
    </row>
    <row r="60" spans="1:9" ht="33.75" x14ac:dyDescent="0.2">
      <c r="A60" s="1" t="s">
        <v>4</v>
      </c>
      <c r="B60" s="16">
        <v>7</v>
      </c>
      <c r="E60" s="1" t="s">
        <v>385</v>
      </c>
      <c r="F60" s="1" t="s">
        <v>386</v>
      </c>
      <c r="G60" s="1" t="s">
        <v>387</v>
      </c>
      <c r="H60" s="1" t="s">
        <v>388</v>
      </c>
      <c r="I60" s="1" t="s">
        <v>389</v>
      </c>
    </row>
    <row r="61" spans="1:9" ht="33.75" x14ac:dyDescent="0.2">
      <c r="A61" s="1" t="s">
        <v>4</v>
      </c>
      <c r="B61" s="16">
        <v>8</v>
      </c>
      <c r="E61" s="1" t="s">
        <v>390</v>
      </c>
      <c r="F61" s="1" t="s">
        <v>112</v>
      </c>
      <c r="G61" s="1" t="s">
        <v>113</v>
      </c>
      <c r="H61" s="1" t="s">
        <v>107</v>
      </c>
      <c r="I61" s="1" t="s">
        <v>110</v>
      </c>
    </row>
    <row r="62" spans="1:9" ht="56.25" x14ac:dyDescent="0.2">
      <c r="A62" s="1" t="s">
        <v>4</v>
      </c>
      <c r="B62" s="16">
        <v>9</v>
      </c>
      <c r="E62" s="1" t="s">
        <v>391</v>
      </c>
      <c r="F62" s="1" t="s">
        <v>392</v>
      </c>
      <c r="G62" s="1" t="s">
        <v>393</v>
      </c>
      <c r="H62" s="1" t="s">
        <v>394</v>
      </c>
      <c r="I62" s="1" t="s">
        <v>395</v>
      </c>
    </row>
    <row r="63" spans="1:9" ht="45" x14ac:dyDescent="0.2">
      <c r="A63" s="1" t="s">
        <v>4</v>
      </c>
      <c r="B63" s="16">
        <v>10</v>
      </c>
      <c r="E63" s="1" t="s">
        <v>396</v>
      </c>
      <c r="F63" s="1" t="s">
        <v>397</v>
      </c>
      <c r="G63" s="1" t="s">
        <v>398</v>
      </c>
      <c r="H63" s="1" t="s">
        <v>399</v>
      </c>
      <c r="I63" s="1" t="s">
        <v>400</v>
      </c>
    </row>
    <row r="64" spans="1:9" ht="33.75" x14ac:dyDescent="0.2">
      <c r="A64" s="1" t="s">
        <v>4</v>
      </c>
      <c r="B64" s="16">
        <v>11</v>
      </c>
      <c r="C64" s="2" t="s">
        <v>406</v>
      </c>
      <c r="E64" s="1" t="s">
        <v>401</v>
      </c>
      <c r="F64" s="1" t="s">
        <v>402</v>
      </c>
      <c r="G64" s="1" t="s">
        <v>403</v>
      </c>
      <c r="H64" s="1" t="s">
        <v>404</v>
      </c>
      <c r="I64" s="1" t="s">
        <v>405</v>
      </c>
    </row>
    <row r="65" spans="1:9" ht="45" x14ac:dyDescent="0.2">
      <c r="A65" s="1" t="s">
        <v>4</v>
      </c>
      <c r="B65" s="16">
        <v>12</v>
      </c>
      <c r="C65" s="1"/>
      <c r="E65" s="1" t="s">
        <v>407</v>
      </c>
      <c r="F65" s="1" t="s">
        <v>408</v>
      </c>
      <c r="G65" s="1" t="s">
        <v>409</v>
      </c>
      <c r="H65" s="1" t="s">
        <v>410</v>
      </c>
      <c r="I65" s="1" t="s">
        <v>411</v>
      </c>
    </row>
    <row r="66" spans="1:9" ht="33.75" x14ac:dyDescent="0.2">
      <c r="A66" s="1" t="s">
        <v>4</v>
      </c>
      <c r="B66" s="16">
        <v>13</v>
      </c>
      <c r="E66" s="1" t="s">
        <v>412</v>
      </c>
      <c r="F66" s="1" t="s">
        <v>413</v>
      </c>
      <c r="G66" s="1" t="s">
        <v>414</v>
      </c>
      <c r="H66" s="1" t="s">
        <v>415</v>
      </c>
      <c r="I66" s="1" t="s">
        <v>416</v>
      </c>
    </row>
    <row r="67" spans="1:9" ht="45" x14ac:dyDescent="0.2">
      <c r="A67" s="1" t="s">
        <v>4</v>
      </c>
      <c r="B67" s="16">
        <v>14</v>
      </c>
      <c r="E67" s="1" t="s">
        <v>417</v>
      </c>
      <c r="F67" s="1" t="s">
        <v>418</v>
      </c>
      <c r="G67" s="1" t="s">
        <v>419</v>
      </c>
      <c r="H67" s="1" t="s">
        <v>420</v>
      </c>
      <c r="I67" s="1" t="s">
        <v>421</v>
      </c>
    </row>
    <row r="68" spans="1:9" ht="45" x14ac:dyDescent="0.2">
      <c r="A68" s="1" t="s">
        <v>4</v>
      </c>
      <c r="B68" s="16">
        <v>15</v>
      </c>
      <c r="E68" s="1" t="s">
        <v>422</v>
      </c>
      <c r="F68" s="1" t="s">
        <v>423</v>
      </c>
      <c r="G68" s="1" t="s">
        <v>424</v>
      </c>
      <c r="H68" s="1" t="s">
        <v>425</v>
      </c>
      <c r="I68" s="1" t="s">
        <v>426</v>
      </c>
    </row>
    <row r="69" spans="1:9" ht="33.75" x14ac:dyDescent="0.2">
      <c r="A69" s="1" t="s">
        <v>4</v>
      </c>
      <c r="B69" s="16">
        <v>16</v>
      </c>
      <c r="E69" s="1" t="s">
        <v>427</v>
      </c>
      <c r="F69" s="1" t="s">
        <v>428</v>
      </c>
      <c r="G69" s="1" t="s">
        <v>429</v>
      </c>
      <c r="H69" s="1" t="s">
        <v>430</v>
      </c>
      <c r="I69" s="1" t="s">
        <v>431</v>
      </c>
    </row>
    <row r="70" spans="1:9" ht="45" x14ac:dyDescent="0.2">
      <c r="A70" s="1" t="s">
        <v>4</v>
      </c>
      <c r="B70" s="16">
        <v>17</v>
      </c>
      <c r="C70" s="2" t="s">
        <v>433</v>
      </c>
      <c r="E70" s="1" t="s">
        <v>432</v>
      </c>
      <c r="F70" s="1" t="s">
        <v>112</v>
      </c>
      <c r="G70" s="1" t="s">
        <v>107</v>
      </c>
      <c r="H70" s="1" t="s">
        <v>108</v>
      </c>
      <c r="I70" s="1" t="s">
        <v>113</v>
      </c>
    </row>
    <row r="71" spans="1:9" ht="56.25" x14ac:dyDescent="0.2">
      <c r="A71" s="1" t="s">
        <v>4</v>
      </c>
      <c r="B71" s="16">
        <v>18</v>
      </c>
      <c r="E71" s="1" t="s">
        <v>434</v>
      </c>
      <c r="F71" s="1" t="s">
        <v>435</v>
      </c>
      <c r="G71" s="1" t="s">
        <v>436</v>
      </c>
      <c r="H71" s="1" t="s">
        <v>437</v>
      </c>
      <c r="I71" s="1" t="s">
        <v>438</v>
      </c>
    </row>
    <row r="72" spans="1:9" ht="56.25" x14ac:dyDescent="0.2">
      <c r="A72" s="1" t="s">
        <v>4</v>
      </c>
      <c r="B72" s="16">
        <v>19</v>
      </c>
      <c r="C72" s="1"/>
      <c r="E72" s="1" t="s">
        <v>439</v>
      </c>
      <c r="F72" s="1" t="s">
        <v>440</v>
      </c>
      <c r="G72" s="1" t="s">
        <v>441</v>
      </c>
      <c r="H72" s="1" t="s">
        <v>442</v>
      </c>
      <c r="I72" s="1" t="s">
        <v>443</v>
      </c>
    </row>
    <row r="73" spans="1:9" ht="56.25" x14ac:dyDescent="0.2">
      <c r="A73" s="1" t="s">
        <v>4</v>
      </c>
      <c r="B73" s="16">
        <v>20</v>
      </c>
      <c r="E73" s="1" t="s">
        <v>444</v>
      </c>
      <c r="F73" s="1" t="s">
        <v>445</v>
      </c>
      <c r="G73" s="1" t="s">
        <v>446</v>
      </c>
      <c r="H73" s="1" t="s">
        <v>447</v>
      </c>
      <c r="I73" s="1" t="s">
        <v>448</v>
      </c>
    </row>
    <row r="74" spans="1:9" ht="45" x14ac:dyDescent="0.2">
      <c r="A74" s="1" t="s">
        <v>4</v>
      </c>
      <c r="B74" s="16">
        <v>21</v>
      </c>
      <c r="E74" s="1" t="s">
        <v>449</v>
      </c>
      <c r="F74" s="1" t="s">
        <v>450</v>
      </c>
      <c r="G74" s="1" t="s">
        <v>451</v>
      </c>
      <c r="H74" s="1" t="s">
        <v>452</v>
      </c>
      <c r="I74" s="1" t="s">
        <v>453</v>
      </c>
    </row>
    <row r="75" spans="1:9" ht="45" x14ac:dyDescent="0.2">
      <c r="A75" s="1" t="s">
        <v>4</v>
      </c>
      <c r="B75" s="16">
        <v>22</v>
      </c>
      <c r="E75" s="1" t="s">
        <v>454</v>
      </c>
      <c r="F75" s="1" t="s">
        <v>455</v>
      </c>
      <c r="G75" s="1" t="s">
        <v>456</v>
      </c>
      <c r="H75" s="1" t="s">
        <v>457</v>
      </c>
      <c r="I75" s="1" t="s">
        <v>458</v>
      </c>
    </row>
    <row r="76" spans="1:9" ht="168.75" x14ac:dyDescent="0.2">
      <c r="A76" s="1" t="s">
        <v>4</v>
      </c>
      <c r="B76" s="16">
        <v>23</v>
      </c>
      <c r="C76" s="1" t="s">
        <v>464</v>
      </c>
      <c r="E76" s="1" t="s">
        <v>459</v>
      </c>
      <c r="F76" s="1" t="s">
        <v>460</v>
      </c>
      <c r="G76" s="1" t="s">
        <v>461</v>
      </c>
      <c r="H76" s="1" t="s">
        <v>462</v>
      </c>
      <c r="I76" s="1" t="s">
        <v>463</v>
      </c>
    </row>
    <row r="77" spans="1:9" ht="33.75" x14ac:dyDescent="0.2">
      <c r="A77" s="1" t="s">
        <v>4</v>
      </c>
      <c r="B77" s="16">
        <v>24</v>
      </c>
      <c r="E77" s="1" t="s">
        <v>465</v>
      </c>
      <c r="F77" s="1" t="s">
        <v>466</v>
      </c>
      <c r="G77" s="1" t="s">
        <v>467</v>
      </c>
      <c r="H77" s="1" t="s">
        <v>468</v>
      </c>
      <c r="I77" s="1" t="s">
        <v>469</v>
      </c>
    </row>
    <row r="78" spans="1:9" ht="33.75" x14ac:dyDescent="0.2">
      <c r="A78" s="1" t="s">
        <v>4</v>
      </c>
      <c r="B78" s="16">
        <v>25</v>
      </c>
      <c r="E78" s="1" t="s">
        <v>470</v>
      </c>
      <c r="F78" s="1" t="s">
        <v>471</v>
      </c>
      <c r="G78" s="1" t="s">
        <v>472</v>
      </c>
      <c r="H78" s="1" t="s">
        <v>473</v>
      </c>
      <c r="I78" s="1" t="s">
        <v>474</v>
      </c>
    </row>
    <row r="79" spans="1:9" ht="45" x14ac:dyDescent="0.2">
      <c r="A79" s="1" t="s">
        <v>4</v>
      </c>
      <c r="B79" s="16">
        <v>26</v>
      </c>
      <c r="E79" s="1" t="s">
        <v>475</v>
      </c>
      <c r="F79" s="1" t="s">
        <v>476</v>
      </c>
      <c r="G79" s="1" t="s">
        <v>477</v>
      </c>
      <c r="H79" s="1" t="s">
        <v>478</v>
      </c>
      <c r="I79" s="1" t="s">
        <v>479</v>
      </c>
    </row>
    <row r="80" spans="1:9" ht="45" x14ac:dyDescent="0.2">
      <c r="A80" s="1" t="s">
        <v>4</v>
      </c>
      <c r="B80" s="16">
        <v>27</v>
      </c>
      <c r="E80" s="1" t="s">
        <v>480</v>
      </c>
      <c r="F80" s="1" t="s">
        <v>481</v>
      </c>
      <c r="G80" s="1" t="s">
        <v>482</v>
      </c>
      <c r="H80" s="1" t="s">
        <v>483</v>
      </c>
      <c r="I80" s="1" t="s">
        <v>484</v>
      </c>
    </row>
    <row r="81" spans="1:9" ht="202.5" x14ac:dyDescent="0.2">
      <c r="A81" s="1" t="s">
        <v>4</v>
      </c>
      <c r="B81" s="16">
        <v>28</v>
      </c>
      <c r="C81" s="1" t="s">
        <v>490</v>
      </c>
      <c r="E81" s="1" t="s">
        <v>485</v>
      </c>
      <c r="F81" s="1" t="s">
        <v>486</v>
      </c>
      <c r="G81" s="1" t="s">
        <v>487</v>
      </c>
      <c r="H81" s="1" t="s">
        <v>488</v>
      </c>
      <c r="I81" s="1" t="s">
        <v>489</v>
      </c>
    </row>
    <row r="82" spans="1:9" ht="33.75" x14ac:dyDescent="0.2">
      <c r="A82" s="1" t="s">
        <v>4</v>
      </c>
      <c r="B82" s="16">
        <v>29</v>
      </c>
      <c r="E82" s="1" t="s">
        <v>119</v>
      </c>
      <c r="F82" s="1" t="s">
        <v>491</v>
      </c>
      <c r="G82" s="1" t="s">
        <v>492</v>
      </c>
      <c r="H82" s="1" t="s">
        <v>493</v>
      </c>
      <c r="I82" s="1" t="s">
        <v>494</v>
      </c>
    </row>
    <row r="83" spans="1:9" ht="33.75" x14ac:dyDescent="0.2">
      <c r="A83" s="1" t="s">
        <v>4</v>
      </c>
      <c r="B83" s="16">
        <v>30</v>
      </c>
      <c r="E83" s="1" t="s">
        <v>495</v>
      </c>
      <c r="F83" s="1" t="s">
        <v>496</v>
      </c>
      <c r="G83" s="1" t="s">
        <v>497</v>
      </c>
      <c r="H83" s="1" t="s">
        <v>498</v>
      </c>
      <c r="I83" s="1" t="s">
        <v>499</v>
      </c>
    </row>
    <row r="84" spans="1:9" ht="56.25" x14ac:dyDescent="0.2">
      <c r="A84" s="1" t="s">
        <v>4</v>
      </c>
      <c r="B84" s="16">
        <v>31</v>
      </c>
      <c r="E84" s="1" t="s">
        <v>500</v>
      </c>
      <c r="F84" s="1" t="s">
        <v>501</v>
      </c>
      <c r="G84" s="1" t="s">
        <v>502</v>
      </c>
      <c r="H84" s="1" t="s">
        <v>503</v>
      </c>
      <c r="I84" s="1" t="s">
        <v>504</v>
      </c>
    </row>
    <row r="85" spans="1:9" ht="45" x14ac:dyDescent="0.2">
      <c r="A85" s="1" t="s">
        <v>4</v>
      </c>
      <c r="B85" s="16">
        <v>32</v>
      </c>
      <c r="E85" s="1" t="s">
        <v>505</v>
      </c>
      <c r="F85" s="1" t="s">
        <v>506</v>
      </c>
      <c r="G85" s="1" t="s">
        <v>507</v>
      </c>
      <c r="H85" s="1" t="s">
        <v>508</v>
      </c>
      <c r="I85" s="1" t="s">
        <v>509</v>
      </c>
    </row>
    <row r="86" spans="1:9" ht="90" x14ac:dyDescent="0.2">
      <c r="A86" s="1" t="s">
        <v>4</v>
      </c>
      <c r="B86" s="16">
        <v>33</v>
      </c>
      <c r="E86" s="1" t="s">
        <v>510</v>
      </c>
      <c r="F86" s="1" t="s">
        <v>511</v>
      </c>
      <c r="G86" s="1" t="s">
        <v>512</v>
      </c>
      <c r="H86" s="1" t="s">
        <v>513</v>
      </c>
      <c r="I86" s="1" t="s">
        <v>514</v>
      </c>
    </row>
    <row r="87" spans="1:9" ht="45" x14ac:dyDescent="0.2">
      <c r="A87" s="1" t="s">
        <v>4</v>
      </c>
      <c r="B87" s="16">
        <v>34</v>
      </c>
      <c r="C87" s="1"/>
      <c r="E87" s="1" t="s">
        <v>515</v>
      </c>
      <c r="F87" s="1" t="s">
        <v>516</v>
      </c>
      <c r="G87" s="1" t="s">
        <v>517</v>
      </c>
      <c r="H87" s="1" t="s">
        <v>518</v>
      </c>
      <c r="I87" s="1" t="s">
        <v>519</v>
      </c>
    </row>
    <row r="88" spans="1:9" ht="146.25" x14ac:dyDescent="0.2">
      <c r="A88" s="1" t="s">
        <v>4</v>
      </c>
      <c r="B88" s="16">
        <v>35</v>
      </c>
      <c r="C88" s="2" t="s">
        <v>525</v>
      </c>
      <c r="E88" s="1" t="s">
        <v>520</v>
      </c>
      <c r="F88" s="1" t="s">
        <v>521</v>
      </c>
      <c r="G88" s="1" t="s">
        <v>522</v>
      </c>
      <c r="H88" s="1" t="s">
        <v>523</v>
      </c>
      <c r="I88" s="1" t="s">
        <v>524</v>
      </c>
    </row>
    <row r="89" spans="1:9" ht="33.75" x14ac:dyDescent="0.2">
      <c r="A89" s="1" t="s">
        <v>4</v>
      </c>
      <c r="B89" s="16">
        <v>36</v>
      </c>
      <c r="E89" s="1" t="s">
        <v>526</v>
      </c>
      <c r="F89" s="1" t="s">
        <v>527</v>
      </c>
      <c r="G89" s="1" t="s">
        <v>528</v>
      </c>
      <c r="H89" s="1" t="s">
        <v>529</v>
      </c>
      <c r="I89" s="1" t="s">
        <v>530</v>
      </c>
    </row>
    <row r="90" spans="1:9" ht="45" x14ac:dyDescent="0.2">
      <c r="A90" s="1" t="s">
        <v>4</v>
      </c>
      <c r="B90" s="16">
        <v>37</v>
      </c>
      <c r="E90" s="1" t="s">
        <v>531</v>
      </c>
      <c r="F90" s="1" t="s">
        <v>532</v>
      </c>
      <c r="G90" s="1" t="s">
        <v>533</v>
      </c>
      <c r="H90" s="1" t="s">
        <v>534</v>
      </c>
      <c r="I90" s="1" t="s">
        <v>535</v>
      </c>
    </row>
    <row r="91" spans="1:9" ht="33.75" x14ac:dyDescent="0.2">
      <c r="A91" s="1" t="s">
        <v>4</v>
      </c>
      <c r="B91" s="16">
        <v>38</v>
      </c>
      <c r="E91" s="1" t="s">
        <v>536</v>
      </c>
      <c r="F91" s="1" t="s">
        <v>537</v>
      </c>
      <c r="G91" s="1" t="s">
        <v>538</v>
      </c>
      <c r="H91" s="1" t="s">
        <v>539</v>
      </c>
      <c r="I91" s="1" t="s">
        <v>540</v>
      </c>
    </row>
    <row r="92" spans="1:9" ht="56.25" x14ac:dyDescent="0.2">
      <c r="A92" s="1" t="s">
        <v>4</v>
      </c>
      <c r="B92" s="16">
        <v>39</v>
      </c>
      <c r="C92" s="1"/>
      <c r="E92" s="1" t="s">
        <v>541</v>
      </c>
      <c r="F92" s="1" t="s">
        <v>542</v>
      </c>
      <c r="G92" s="1" t="s">
        <v>543</v>
      </c>
      <c r="H92" s="1" t="s">
        <v>544</v>
      </c>
      <c r="I92" s="1" t="s">
        <v>545</v>
      </c>
    </row>
    <row r="93" spans="1:9" ht="56.25" x14ac:dyDescent="0.2">
      <c r="A93" s="1" t="s">
        <v>4</v>
      </c>
      <c r="B93" s="16">
        <v>40</v>
      </c>
      <c r="C93" s="2" t="s">
        <v>551</v>
      </c>
      <c r="E93" s="1" t="s">
        <v>546</v>
      </c>
      <c r="F93" s="1" t="s">
        <v>547</v>
      </c>
      <c r="G93" s="1" t="s">
        <v>548</v>
      </c>
      <c r="H93" s="1" t="s">
        <v>549</v>
      </c>
      <c r="I93" s="1" t="s">
        <v>550</v>
      </c>
    </row>
    <row r="94" spans="1:9" ht="78.75" x14ac:dyDescent="0.2">
      <c r="A94" s="1" t="s">
        <v>5</v>
      </c>
      <c r="B94" s="16">
        <v>1</v>
      </c>
      <c r="E94" s="1" t="s">
        <v>552</v>
      </c>
      <c r="F94" s="1" t="s">
        <v>553</v>
      </c>
      <c r="G94" s="1" t="s">
        <v>554</v>
      </c>
      <c r="H94" s="1" t="s">
        <v>555</v>
      </c>
      <c r="I94" s="1" t="s">
        <v>556</v>
      </c>
    </row>
    <row r="95" spans="1:9" ht="33.75" x14ac:dyDescent="0.2">
      <c r="A95" s="1" t="s">
        <v>5</v>
      </c>
      <c r="B95" s="16">
        <v>2</v>
      </c>
      <c r="E95" s="1" t="s">
        <v>557</v>
      </c>
      <c r="F95" s="1" t="s">
        <v>553</v>
      </c>
      <c r="G95" s="1" t="s">
        <v>554</v>
      </c>
      <c r="H95" s="1" t="s">
        <v>555</v>
      </c>
      <c r="I95" s="1" t="s">
        <v>556</v>
      </c>
    </row>
    <row r="96" spans="1:9" ht="45" x14ac:dyDescent="0.2">
      <c r="A96" s="1" t="s">
        <v>5</v>
      </c>
      <c r="B96" s="16">
        <v>3</v>
      </c>
      <c r="C96" s="1"/>
      <c r="E96" s="1" t="s">
        <v>558</v>
      </c>
      <c r="F96" s="1" t="s">
        <v>559</v>
      </c>
      <c r="G96" s="1" t="s">
        <v>560</v>
      </c>
      <c r="H96" s="1" t="s">
        <v>561</v>
      </c>
      <c r="I96" s="1" t="s">
        <v>562</v>
      </c>
    </row>
    <row r="97" spans="1:9" ht="101.25" x14ac:dyDescent="0.2">
      <c r="A97" s="1" t="s">
        <v>5</v>
      </c>
      <c r="B97" s="16">
        <v>4</v>
      </c>
      <c r="E97" s="1" t="s">
        <v>563</v>
      </c>
      <c r="F97" s="1" t="s">
        <v>553</v>
      </c>
      <c r="G97" s="1" t="s">
        <v>554</v>
      </c>
      <c r="H97" s="1" t="s">
        <v>555</v>
      </c>
      <c r="I97" s="1" t="s">
        <v>556</v>
      </c>
    </row>
    <row r="98" spans="1:9" ht="56.25" x14ac:dyDescent="0.2">
      <c r="A98" s="1" t="s">
        <v>5</v>
      </c>
      <c r="B98" s="16">
        <v>5</v>
      </c>
      <c r="C98" s="2" t="s">
        <v>569</v>
      </c>
      <c r="E98" s="1" t="s">
        <v>564</v>
      </c>
      <c r="F98" s="1" t="s">
        <v>565</v>
      </c>
      <c r="G98" s="1" t="s">
        <v>566</v>
      </c>
      <c r="H98" s="1" t="s">
        <v>567</v>
      </c>
      <c r="I98" s="1" t="s">
        <v>568</v>
      </c>
    </row>
    <row r="99" spans="1:9" ht="45" x14ac:dyDescent="0.2">
      <c r="A99" s="1" t="s">
        <v>5</v>
      </c>
      <c r="B99" s="16">
        <v>6</v>
      </c>
      <c r="E99" s="1" t="s">
        <v>570</v>
      </c>
      <c r="F99" s="1" t="s">
        <v>571</v>
      </c>
      <c r="G99" s="1" t="s">
        <v>572</v>
      </c>
      <c r="H99" s="1" t="s">
        <v>573</v>
      </c>
      <c r="I99" s="1" t="s">
        <v>574</v>
      </c>
    </row>
    <row r="100" spans="1:9" ht="56.25" x14ac:dyDescent="0.2">
      <c r="A100" s="1" t="s">
        <v>5</v>
      </c>
      <c r="B100" s="16">
        <v>7</v>
      </c>
      <c r="E100" s="1" t="s">
        <v>575</v>
      </c>
      <c r="F100" s="1" t="s">
        <v>576</v>
      </c>
      <c r="G100" s="1" t="s">
        <v>577</v>
      </c>
      <c r="H100" s="1" t="s">
        <v>578</v>
      </c>
      <c r="I100" s="1" t="s">
        <v>579</v>
      </c>
    </row>
    <row r="101" spans="1:9" ht="33.75" x14ac:dyDescent="0.2">
      <c r="A101" s="1" t="s">
        <v>5</v>
      </c>
      <c r="B101" s="16">
        <v>8</v>
      </c>
      <c r="E101" s="1" t="s">
        <v>580</v>
      </c>
      <c r="F101" s="1" t="s">
        <v>581</v>
      </c>
      <c r="G101" s="1" t="s">
        <v>582</v>
      </c>
      <c r="H101" s="1" t="s">
        <v>583</v>
      </c>
      <c r="I101" s="1" t="s">
        <v>584</v>
      </c>
    </row>
    <row r="102" spans="1:9" ht="33.75" x14ac:dyDescent="0.2">
      <c r="A102" s="1" t="s">
        <v>5</v>
      </c>
      <c r="B102" s="16">
        <v>9</v>
      </c>
      <c r="C102" s="1"/>
      <c r="E102" s="1" t="s">
        <v>585</v>
      </c>
      <c r="F102" s="1" t="s">
        <v>586</v>
      </c>
      <c r="G102" s="1" t="s">
        <v>587</v>
      </c>
      <c r="H102" s="1" t="s">
        <v>588</v>
      </c>
      <c r="I102" s="1" t="s">
        <v>589</v>
      </c>
    </row>
    <row r="103" spans="1:9" ht="33.75" x14ac:dyDescent="0.2">
      <c r="A103" s="1" t="s">
        <v>5</v>
      </c>
      <c r="B103" s="16">
        <v>10</v>
      </c>
      <c r="E103" s="1" t="s">
        <v>590</v>
      </c>
      <c r="F103" s="1" t="s">
        <v>591</v>
      </c>
      <c r="G103" s="1" t="s">
        <v>592</v>
      </c>
      <c r="H103" s="1" t="s">
        <v>593</v>
      </c>
      <c r="I103" s="1" t="s">
        <v>594</v>
      </c>
    </row>
    <row r="104" spans="1:9" ht="22.5" x14ac:dyDescent="0.2">
      <c r="A104" s="1" t="s">
        <v>5</v>
      </c>
      <c r="B104" s="16">
        <v>11</v>
      </c>
      <c r="C104" s="2" t="s">
        <v>600</v>
      </c>
      <c r="E104" s="1" t="s">
        <v>595</v>
      </c>
      <c r="F104" s="1" t="s">
        <v>596</v>
      </c>
      <c r="G104" s="1" t="s">
        <v>597</v>
      </c>
      <c r="H104" s="1" t="s">
        <v>598</v>
      </c>
      <c r="I104" s="1" t="s">
        <v>599</v>
      </c>
    </row>
    <row r="105" spans="1:9" ht="67.5" x14ac:dyDescent="0.2">
      <c r="A105" s="1" t="s">
        <v>5</v>
      </c>
      <c r="B105" s="16">
        <v>12</v>
      </c>
      <c r="E105" s="1" t="s">
        <v>601</v>
      </c>
      <c r="F105" s="1" t="s">
        <v>602</v>
      </c>
      <c r="G105" s="1" t="s">
        <v>603</v>
      </c>
      <c r="H105" s="1" t="s">
        <v>604</v>
      </c>
      <c r="I105" s="1" t="s">
        <v>605</v>
      </c>
    </row>
    <row r="106" spans="1:9" ht="22.5" x14ac:dyDescent="0.2">
      <c r="A106" s="1" t="s">
        <v>5</v>
      </c>
      <c r="B106" s="16">
        <v>13</v>
      </c>
      <c r="E106" s="1" t="s">
        <v>606</v>
      </c>
      <c r="F106" s="1" t="s">
        <v>607</v>
      </c>
      <c r="G106" s="1" t="s">
        <v>608</v>
      </c>
      <c r="H106" s="1" t="s">
        <v>609</v>
      </c>
      <c r="I106" s="1" t="s">
        <v>610</v>
      </c>
    </row>
    <row r="107" spans="1:9" ht="22.5" x14ac:dyDescent="0.2">
      <c r="A107" s="1" t="s">
        <v>5</v>
      </c>
      <c r="B107" s="16">
        <v>14</v>
      </c>
      <c r="E107" s="1" t="s">
        <v>611</v>
      </c>
      <c r="F107" s="1" t="s">
        <v>612</v>
      </c>
      <c r="G107" s="1" t="s">
        <v>613</v>
      </c>
      <c r="H107" s="1" t="s">
        <v>614</v>
      </c>
      <c r="I107" s="1" t="s">
        <v>615</v>
      </c>
    </row>
    <row r="108" spans="1:9" ht="101.25" x14ac:dyDescent="0.2">
      <c r="A108" s="1" t="s">
        <v>5</v>
      </c>
      <c r="B108" s="16">
        <v>15</v>
      </c>
      <c r="C108" s="1" t="s">
        <v>117</v>
      </c>
      <c r="E108" s="1" t="s">
        <v>616</v>
      </c>
      <c r="F108" s="1" t="s">
        <v>617</v>
      </c>
      <c r="G108" s="1" t="s">
        <v>618</v>
      </c>
      <c r="H108" s="1" t="s">
        <v>619</v>
      </c>
      <c r="I108" s="1" t="s">
        <v>620</v>
      </c>
    </row>
    <row r="109" spans="1:9" ht="22.5" x14ac:dyDescent="0.2">
      <c r="A109" s="1" t="s">
        <v>5</v>
      </c>
      <c r="B109" s="16">
        <v>16</v>
      </c>
      <c r="E109" s="1" t="s">
        <v>621</v>
      </c>
      <c r="F109" s="1" t="s">
        <v>622</v>
      </c>
      <c r="G109" s="1" t="s">
        <v>623</v>
      </c>
      <c r="H109" s="1" t="s">
        <v>624</v>
      </c>
      <c r="I109" s="1" t="s">
        <v>625</v>
      </c>
    </row>
    <row r="110" spans="1:9" ht="56.25" x14ac:dyDescent="0.2">
      <c r="A110" s="1" t="s">
        <v>5</v>
      </c>
      <c r="B110" s="16">
        <v>17</v>
      </c>
      <c r="E110" s="1" t="s">
        <v>626</v>
      </c>
      <c r="F110" s="1" t="s">
        <v>627</v>
      </c>
      <c r="G110" s="1" t="s">
        <v>628</v>
      </c>
      <c r="H110" s="1" t="s">
        <v>629</v>
      </c>
      <c r="I110" s="1" t="s">
        <v>630</v>
      </c>
    </row>
    <row r="111" spans="1:9" ht="22.5" x14ac:dyDescent="0.2">
      <c r="A111" s="1" t="s">
        <v>5</v>
      </c>
      <c r="B111" s="16">
        <v>18</v>
      </c>
      <c r="C111" s="1"/>
      <c r="E111" s="1" t="s">
        <v>631</v>
      </c>
      <c r="F111" s="1" t="s">
        <v>632</v>
      </c>
      <c r="G111" s="1" t="s">
        <v>633</v>
      </c>
      <c r="H111" s="1" t="s">
        <v>634</v>
      </c>
      <c r="I111" s="1" t="s">
        <v>635</v>
      </c>
    </row>
    <row r="112" spans="1:9" x14ac:dyDescent="0.2">
      <c r="A112" s="2" t="s">
        <v>5</v>
      </c>
      <c r="B112" s="4">
        <v>19</v>
      </c>
      <c r="E112" s="2" t="s">
        <v>636</v>
      </c>
      <c r="F112" s="2" t="s">
        <v>637</v>
      </c>
      <c r="G112" s="2" t="s">
        <v>638</v>
      </c>
      <c r="H112" s="2" t="s">
        <v>639</v>
      </c>
      <c r="I112" s="2" t="s">
        <v>640</v>
      </c>
    </row>
    <row r="113" spans="1:9" x14ac:dyDescent="0.2">
      <c r="A113" s="2" t="s">
        <v>5</v>
      </c>
      <c r="B113" s="4">
        <v>20</v>
      </c>
      <c r="E113" s="2" t="s">
        <v>641</v>
      </c>
      <c r="F113" s="2" t="s">
        <v>642</v>
      </c>
      <c r="G113" s="2" t="s">
        <v>643</v>
      </c>
      <c r="H113" s="2" t="s">
        <v>644</v>
      </c>
      <c r="I113" s="2" t="s">
        <v>645</v>
      </c>
    </row>
    <row r="114" spans="1:9" x14ac:dyDescent="0.2">
      <c r="A114" s="2" t="s">
        <v>5</v>
      </c>
      <c r="B114" s="4">
        <v>21</v>
      </c>
      <c r="E114" s="2" t="s">
        <v>646</v>
      </c>
      <c r="F114" s="2" t="s">
        <v>111</v>
      </c>
      <c r="G114" s="2" t="s">
        <v>111</v>
      </c>
      <c r="H114" s="2" t="s">
        <v>111</v>
      </c>
      <c r="I114" s="2" t="s">
        <v>111</v>
      </c>
    </row>
    <row r="115" spans="1:9" x14ac:dyDescent="0.2">
      <c r="A115" s="2" t="s">
        <v>5</v>
      </c>
      <c r="B115" s="4">
        <v>22</v>
      </c>
      <c r="C115" s="2" t="s">
        <v>652</v>
      </c>
      <c r="E115" s="2" t="s">
        <v>647</v>
      </c>
      <c r="F115" s="2" t="s">
        <v>648</v>
      </c>
      <c r="G115" s="2" t="s">
        <v>649</v>
      </c>
      <c r="H115" s="2" t="s">
        <v>650</v>
      </c>
      <c r="I115" s="2" t="s">
        <v>651</v>
      </c>
    </row>
    <row r="116" spans="1:9" x14ac:dyDescent="0.2">
      <c r="A116" s="2" t="s">
        <v>5</v>
      </c>
      <c r="B116" s="4">
        <v>23</v>
      </c>
      <c r="E116" s="2" t="s">
        <v>653</v>
      </c>
      <c r="F116" s="2" t="s">
        <v>654</v>
      </c>
      <c r="G116" s="2" t="s">
        <v>108</v>
      </c>
      <c r="H116" s="2" t="s">
        <v>121</v>
      </c>
      <c r="I116" s="2" t="s">
        <v>122</v>
      </c>
    </row>
    <row r="117" spans="1:9" x14ac:dyDescent="0.2">
      <c r="A117" s="2" t="s">
        <v>5</v>
      </c>
      <c r="B117" s="4">
        <v>24</v>
      </c>
      <c r="E117" s="2" t="s">
        <v>655</v>
      </c>
      <c r="F117" s="2" t="s">
        <v>656</v>
      </c>
      <c r="G117" s="2" t="s">
        <v>657</v>
      </c>
      <c r="H117" s="2" t="s">
        <v>658</v>
      </c>
      <c r="I117" s="2" t="s">
        <v>659</v>
      </c>
    </row>
    <row r="118" spans="1:9" x14ac:dyDescent="0.2">
      <c r="A118" s="2" t="s">
        <v>5</v>
      </c>
      <c r="B118" s="4">
        <v>25</v>
      </c>
      <c r="E118" s="2" t="s">
        <v>660</v>
      </c>
      <c r="F118" s="2" t="s">
        <v>661</v>
      </c>
      <c r="G118" s="2" t="s">
        <v>662</v>
      </c>
      <c r="H118" s="2" t="s">
        <v>663</v>
      </c>
      <c r="I118" s="2" t="s">
        <v>664</v>
      </c>
    </row>
    <row r="119" spans="1:9" x14ac:dyDescent="0.2">
      <c r="A119" s="2" t="s">
        <v>5</v>
      </c>
      <c r="B119" s="4">
        <v>26</v>
      </c>
      <c r="E119" s="2" t="s">
        <v>665</v>
      </c>
      <c r="F119" s="2" t="s">
        <v>666</v>
      </c>
      <c r="G119" s="2" t="s">
        <v>667</v>
      </c>
      <c r="H119" s="2" t="s">
        <v>668</v>
      </c>
      <c r="I119" s="2" t="s">
        <v>669</v>
      </c>
    </row>
    <row r="120" spans="1:9" x14ac:dyDescent="0.2">
      <c r="A120" s="2" t="s">
        <v>5</v>
      </c>
      <c r="B120" s="4">
        <v>27</v>
      </c>
      <c r="E120" s="2" t="s">
        <v>670</v>
      </c>
      <c r="F120" s="2" t="s">
        <v>671</v>
      </c>
      <c r="G120" s="2" t="s">
        <v>672</v>
      </c>
      <c r="H120" s="2" t="s">
        <v>673</v>
      </c>
      <c r="I120" s="2" t="s">
        <v>674</v>
      </c>
    </row>
    <row r="121" spans="1:9" x14ac:dyDescent="0.2">
      <c r="A121" s="2" t="s">
        <v>5</v>
      </c>
      <c r="B121" s="4">
        <v>28</v>
      </c>
      <c r="E121" s="2" t="s">
        <v>675</v>
      </c>
      <c r="F121" s="2" t="s">
        <v>676</v>
      </c>
      <c r="G121" s="2" t="s">
        <v>677</v>
      </c>
      <c r="H121" s="2" t="s">
        <v>678</v>
      </c>
      <c r="I121" s="2" t="s">
        <v>679</v>
      </c>
    </row>
    <row r="122" spans="1:9" x14ac:dyDescent="0.2">
      <c r="A122" s="2" t="s">
        <v>5</v>
      </c>
      <c r="B122" s="4">
        <v>29</v>
      </c>
      <c r="C122" s="2" t="s">
        <v>685</v>
      </c>
      <c r="E122" s="2" t="s">
        <v>680</v>
      </c>
      <c r="F122" s="2" t="s">
        <v>681</v>
      </c>
      <c r="G122" s="2" t="s">
        <v>682</v>
      </c>
      <c r="H122" s="2" t="s">
        <v>683</v>
      </c>
      <c r="I122" s="2" t="s">
        <v>684</v>
      </c>
    </row>
    <row r="123" spans="1:9" x14ac:dyDescent="0.2">
      <c r="A123" s="2" t="s">
        <v>5</v>
      </c>
      <c r="B123" s="4">
        <v>30</v>
      </c>
      <c r="E123" s="2" t="s">
        <v>686</v>
      </c>
      <c r="F123" s="2" t="s">
        <v>687</v>
      </c>
      <c r="G123" s="2" t="s">
        <v>688</v>
      </c>
      <c r="H123" s="2" t="s">
        <v>689</v>
      </c>
      <c r="I123" s="2" t="s">
        <v>690</v>
      </c>
    </row>
    <row r="124" spans="1:9" x14ac:dyDescent="0.2">
      <c r="A124" s="2" t="s">
        <v>5</v>
      </c>
      <c r="B124" s="4">
        <v>31</v>
      </c>
      <c r="E124" s="2" t="s">
        <v>691</v>
      </c>
      <c r="F124" s="2" t="s">
        <v>692</v>
      </c>
      <c r="G124" s="2" t="s">
        <v>693</v>
      </c>
      <c r="H124" s="2" t="s">
        <v>694</v>
      </c>
      <c r="I124" s="2" t="s">
        <v>695</v>
      </c>
    </row>
    <row r="125" spans="1:9" x14ac:dyDescent="0.2">
      <c r="A125" s="2" t="s">
        <v>5</v>
      </c>
      <c r="B125" s="4">
        <v>32</v>
      </c>
      <c r="E125" s="2" t="s">
        <v>696</v>
      </c>
      <c r="F125" s="2" t="s">
        <v>697</v>
      </c>
      <c r="G125" s="2" t="s">
        <v>698</v>
      </c>
      <c r="H125" s="2" t="s">
        <v>699</v>
      </c>
      <c r="I125" s="2" t="s">
        <v>700</v>
      </c>
    </row>
    <row r="126" spans="1:9" x14ac:dyDescent="0.2">
      <c r="A126" s="2" t="s">
        <v>5</v>
      </c>
      <c r="B126" s="4">
        <v>33</v>
      </c>
      <c r="C126" s="2" t="s">
        <v>117</v>
      </c>
      <c r="E126" s="2" t="s">
        <v>701</v>
      </c>
      <c r="F126" s="2" t="s">
        <v>702</v>
      </c>
      <c r="G126" s="2" t="s">
        <v>703</v>
      </c>
      <c r="H126" s="2" t="s">
        <v>704</v>
      </c>
      <c r="I126" s="2" t="s">
        <v>705</v>
      </c>
    </row>
    <row r="127" spans="1:9" x14ac:dyDescent="0.2">
      <c r="A127" s="2" t="s">
        <v>5</v>
      </c>
      <c r="B127" s="4">
        <v>34</v>
      </c>
      <c r="E127" s="2" t="s">
        <v>706</v>
      </c>
      <c r="F127" s="2" t="s">
        <v>707</v>
      </c>
      <c r="G127" s="2" t="s">
        <v>708</v>
      </c>
      <c r="H127" s="2" t="s">
        <v>709</v>
      </c>
      <c r="I127" s="2" t="s">
        <v>710</v>
      </c>
    </row>
    <row r="128" spans="1:9" x14ac:dyDescent="0.2">
      <c r="A128" s="2" t="s">
        <v>5</v>
      </c>
      <c r="B128" s="4">
        <v>35</v>
      </c>
      <c r="E128" s="2" t="s">
        <v>711</v>
      </c>
      <c r="F128" s="2" t="s">
        <v>712</v>
      </c>
      <c r="G128" s="2" t="s">
        <v>713</v>
      </c>
      <c r="H128" s="2" t="s">
        <v>714</v>
      </c>
      <c r="I128" s="2" t="s">
        <v>715</v>
      </c>
    </row>
    <row r="129" spans="1:9" x14ac:dyDescent="0.2">
      <c r="A129" s="2" t="s">
        <v>5</v>
      </c>
      <c r="B129" s="4">
        <v>36</v>
      </c>
      <c r="E129" s="2" t="s">
        <v>716</v>
      </c>
      <c r="F129" s="2" t="s">
        <v>717</v>
      </c>
      <c r="G129" s="2" t="s">
        <v>718</v>
      </c>
      <c r="H129" s="2" t="s">
        <v>719</v>
      </c>
      <c r="I129" s="2" t="s">
        <v>720</v>
      </c>
    </row>
    <row r="130" spans="1:9" x14ac:dyDescent="0.2">
      <c r="A130" s="2" t="s">
        <v>5</v>
      </c>
      <c r="B130" s="4">
        <v>37</v>
      </c>
      <c r="E130" s="2" t="s">
        <v>721</v>
      </c>
      <c r="F130" s="2" t="s">
        <v>722</v>
      </c>
      <c r="G130" s="2" t="s">
        <v>723</v>
      </c>
      <c r="H130" s="2" t="s">
        <v>724</v>
      </c>
      <c r="I130" s="2" t="s">
        <v>725</v>
      </c>
    </row>
    <row r="131" spans="1:9" x14ac:dyDescent="0.2">
      <c r="A131" s="2" t="s">
        <v>5</v>
      </c>
      <c r="B131" s="4">
        <v>38</v>
      </c>
      <c r="C131" s="2" t="s">
        <v>731</v>
      </c>
      <c r="E131" s="2" t="s">
        <v>726</v>
      </c>
      <c r="F131" s="2" t="s">
        <v>727</v>
      </c>
      <c r="G131" s="2" t="s">
        <v>728</v>
      </c>
      <c r="H131" s="2" t="s">
        <v>729</v>
      </c>
      <c r="I131" s="2" t="s">
        <v>730</v>
      </c>
    </row>
    <row r="132" spans="1:9" x14ac:dyDescent="0.2">
      <c r="A132" s="2" t="s">
        <v>5</v>
      </c>
      <c r="B132" s="4">
        <v>39</v>
      </c>
      <c r="E132" s="2" t="s">
        <v>732</v>
      </c>
      <c r="F132" s="2" t="s">
        <v>733</v>
      </c>
      <c r="G132" s="2" t="s">
        <v>734</v>
      </c>
      <c r="H132" s="2" t="s">
        <v>735</v>
      </c>
      <c r="I132" s="2" t="s">
        <v>736</v>
      </c>
    </row>
    <row r="133" spans="1:9" x14ac:dyDescent="0.2">
      <c r="A133" s="2" t="s">
        <v>5</v>
      </c>
      <c r="B133" s="4">
        <v>40</v>
      </c>
      <c r="E133" s="2" t="s">
        <v>737</v>
      </c>
      <c r="F133" s="2" t="s">
        <v>738</v>
      </c>
      <c r="G133" s="2" t="s">
        <v>739</v>
      </c>
      <c r="H133" s="2" t="s">
        <v>740</v>
      </c>
      <c r="I133" s="2" t="s">
        <v>741</v>
      </c>
    </row>
    <row r="134" spans="1:9" x14ac:dyDescent="0.2">
      <c r="A134" s="2" t="s">
        <v>5</v>
      </c>
      <c r="B134" s="4">
        <v>41</v>
      </c>
      <c r="E134" s="2" t="s">
        <v>742</v>
      </c>
      <c r="F134" s="2" t="s">
        <v>743</v>
      </c>
      <c r="G134" s="2" t="s">
        <v>744</v>
      </c>
      <c r="H134" s="2" t="s">
        <v>745</v>
      </c>
      <c r="I134" s="2" t="s">
        <v>746</v>
      </c>
    </row>
    <row r="135" spans="1:9" x14ac:dyDescent="0.2">
      <c r="A135" s="2" t="s">
        <v>5</v>
      </c>
      <c r="B135" s="4">
        <v>42</v>
      </c>
      <c r="E135" s="2" t="s">
        <v>747</v>
      </c>
      <c r="F135" s="2" t="s">
        <v>748</v>
      </c>
      <c r="G135" s="2" t="s">
        <v>749</v>
      </c>
      <c r="H135" s="2" t="s">
        <v>750</v>
      </c>
      <c r="I135" s="2" t="s">
        <v>751</v>
      </c>
    </row>
    <row r="136" spans="1:9" x14ac:dyDescent="0.2">
      <c r="A136" s="2" t="s">
        <v>5</v>
      </c>
      <c r="B136" s="4">
        <v>43</v>
      </c>
      <c r="C136" s="2" t="s">
        <v>756</v>
      </c>
      <c r="E136" s="2" t="s">
        <v>752</v>
      </c>
      <c r="F136" s="2" t="s">
        <v>753</v>
      </c>
      <c r="G136" s="2" t="s">
        <v>754</v>
      </c>
      <c r="H136" s="2" t="s">
        <v>750</v>
      </c>
      <c r="I136" s="2" t="s">
        <v>755</v>
      </c>
    </row>
    <row r="137" spans="1:9" x14ac:dyDescent="0.2">
      <c r="A137" s="2" t="s">
        <v>5</v>
      </c>
      <c r="B137" s="4">
        <v>44</v>
      </c>
      <c r="E137" s="2" t="s">
        <v>757</v>
      </c>
      <c r="F137" s="2" t="s">
        <v>758</v>
      </c>
      <c r="G137" s="2" t="s">
        <v>759</v>
      </c>
      <c r="H137" s="2" t="s">
        <v>760</v>
      </c>
      <c r="I137" s="2" t="s">
        <v>761</v>
      </c>
    </row>
    <row r="138" spans="1:9" x14ac:dyDescent="0.2">
      <c r="A138" s="2" t="s">
        <v>5</v>
      </c>
      <c r="B138" s="4">
        <v>45</v>
      </c>
      <c r="E138" s="2" t="s">
        <v>762</v>
      </c>
      <c r="F138" s="2" t="s">
        <v>763</v>
      </c>
      <c r="G138" s="2" t="s">
        <v>764</v>
      </c>
      <c r="H138" s="2" t="s">
        <v>765</v>
      </c>
      <c r="I138" s="2" t="s">
        <v>123</v>
      </c>
    </row>
    <row r="139" spans="1:9" x14ac:dyDescent="0.2">
      <c r="A139" s="2" t="s">
        <v>5</v>
      </c>
      <c r="B139" s="4">
        <v>46</v>
      </c>
      <c r="E139" s="2" t="s">
        <v>766</v>
      </c>
      <c r="F139" s="2" t="s">
        <v>767</v>
      </c>
      <c r="G139" s="2" t="s">
        <v>768</v>
      </c>
      <c r="H139" s="2" t="s">
        <v>769</v>
      </c>
      <c r="I139" s="2" t="s">
        <v>770</v>
      </c>
    </row>
    <row r="140" spans="1:9" x14ac:dyDescent="0.2">
      <c r="A140" s="2" t="s">
        <v>5</v>
      </c>
      <c r="B140" s="4">
        <v>47</v>
      </c>
      <c r="C140" s="2" t="s">
        <v>774</v>
      </c>
      <c r="E140" s="2" t="s">
        <v>771</v>
      </c>
      <c r="F140" s="2" t="s">
        <v>772</v>
      </c>
      <c r="G140" s="2" t="s">
        <v>773</v>
      </c>
      <c r="H140" s="2" t="s">
        <v>116</v>
      </c>
      <c r="I140" s="2" t="s">
        <v>115</v>
      </c>
    </row>
    <row r="141" spans="1:9" x14ac:dyDescent="0.2">
      <c r="A141" s="2" t="s">
        <v>5</v>
      </c>
      <c r="B141" s="4">
        <v>48</v>
      </c>
      <c r="E141" s="2" t="s">
        <v>775</v>
      </c>
      <c r="F141" s="2" t="s">
        <v>727</v>
      </c>
      <c r="G141" s="2" t="s">
        <v>776</v>
      </c>
      <c r="H141" s="2" t="s">
        <v>777</v>
      </c>
      <c r="I141" s="2" t="s">
        <v>778</v>
      </c>
    </row>
    <row r="142" spans="1:9" x14ac:dyDescent="0.2">
      <c r="A142" s="2" t="s">
        <v>5</v>
      </c>
      <c r="B142" s="4">
        <v>49</v>
      </c>
      <c r="E142" s="2" t="s">
        <v>779</v>
      </c>
      <c r="F142" s="2" t="s">
        <v>129</v>
      </c>
      <c r="G142" s="2" t="s">
        <v>135</v>
      </c>
      <c r="H142" s="2" t="s">
        <v>141</v>
      </c>
      <c r="I142" s="2" t="s">
        <v>143</v>
      </c>
    </row>
    <row r="143" spans="1:9" x14ac:dyDescent="0.2">
      <c r="A143" s="2" t="s">
        <v>5</v>
      </c>
      <c r="B143" s="4">
        <v>50</v>
      </c>
      <c r="E143" s="2" t="s">
        <v>780</v>
      </c>
      <c r="F143" s="2" t="s">
        <v>781</v>
      </c>
      <c r="G143" s="2" t="s">
        <v>782</v>
      </c>
      <c r="H143" s="2" t="s">
        <v>783</v>
      </c>
      <c r="I143" s="2" t="s">
        <v>784</v>
      </c>
    </row>
    <row r="144" spans="1:9" x14ac:dyDescent="0.2">
      <c r="A144" s="2" t="s">
        <v>5</v>
      </c>
      <c r="B144" s="4">
        <v>51</v>
      </c>
      <c r="E144" s="2" t="s">
        <v>785</v>
      </c>
      <c r="F144" s="2" t="s">
        <v>786</v>
      </c>
      <c r="G144" s="2" t="s">
        <v>787</v>
      </c>
      <c r="H144" s="2" t="s">
        <v>788</v>
      </c>
      <c r="I144" s="2" t="s">
        <v>789</v>
      </c>
    </row>
    <row r="145" spans="1:9" x14ac:dyDescent="0.2">
      <c r="A145" s="2" t="s">
        <v>5</v>
      </c>
      <c r="B145" s="4">
        <v>52</v>
      </c>
      <c r="C145" s="2" t="s">
        <v>117</v>
      </c>
      <c r="E145" s="2" t="s">
        <v>790</v>
      </c>
      <c r="F145" s="2" t="s">
        <v>791</v>
      </c>
      <c r="G145" s="2" t="s">
        <v>792</v>
      </c>
      <c r="H145" s="2" t="s">
        <v>793</v>
      </c>
      <c r="I145" s="2" t="s">
        <v>794</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
  <sheetViews>
    <sheetView tabSelected="1" workbookViewId="0">
      <selection activeCell="D1" sqref="D1"/>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7" s="13" customFormat="1" x14ac:dyDescent="0.2">
      <c r="A1" s="11" t="s">
        <v>27</v>
      </c>
      <c r="B1" s="12" t="s">
        <v>18</v>
      </c>
      <c r="C1" s="11" t="s">
        <v>22</v>
      </c>
      <c r="D1" s="11" t="s">
        <v>59</v>
      </c>
      <c r="E1" s="12" t="s">
        <v>127</v>
      </c>
      <c r="F1" s="12" t="s">
        <v>19</v>
      </c>
      <c r="G1" s="12" t="s">
        <v>20</v>
      </c>
    </row>
    <row r="2" spans="1:7" x14ac:dyDescent="0.2">
      <c r="A2" s="2" t="s">
        <v>95</v>
      </c>
      <c r="B2" s="2" t="s">
        <v>21</v>
      </c>
      <c r="C2" s="2" t="s">
        <v>26</v>
      </c>
      <c r="D2" s="2" t="s">
        <v>60</v>
      </c>
      <c r="E2" s="2">
        <v>50</v>
      </c>
      <c r="F2" s="2">
        <v>12</v>
      </c>
      <c r="G2" s="2" t="s">
        <v>29</v>
      </c>
    </row>
    <row r="3" spans="1:7" x14ac:dyDescent="0.2">
      <c r="A3" s="2" t="s">
        <v>95</v>
      </c>
      <c r="B3" s="2" t="s">
        <v>4</v>
      </c>
      <c r="C3" s="2" t="s">
        <v>24</v>
      </c>
      <c r="D3" s="2" t="s">
        <v>61</v>
      </c>
      <c r="E3" s="2">
        <v>16</v>
      </c>
      <c r="F3" s="2">
        <v>4</v>
      </c>
      <c r="G3" s="2" t="s">
        <v>953</v>
      </c>
    </row>
    <row r="4" spans="1:7" x14ac:dyDescent="0.2">
      <c r="A4" s="2" t="s">
        <v>95</v>
      </c>
      <c r="B4" s="2" t="s">
        <v>5</v>
      </c>
      <c r="C4" s="2" t="s">
        <v>25</v>
      </c>
      <c r="D4" s="2" t="s">
        <v>62</v>
      </c>
      <c r="E4" s="2">
        <v>19</v>
      </c>
      <c r="F4" s="2">
        <v>4</v>
      </c>
      <c r="G4" s="2" t="s">
        <v>28</v>
      </c>
    </row>
    <row r="5" spans="1:7" x14ac:dyDescent="0.2">
      <c r="A5" s="2" t="s">
        <v>95</v>
      </c>
      <c r="B5" s="2" t="s">
        <v>3</v>
      </c>
      <c r="C5" s="2" t="s">
        <v>23</v>
      </c>
      <c r="D5" s="2" t="s">
        <v>63</v>
      </c>
      <c r="E5" s="2">
        <v>15</v>
      </c>
      <c r="F5" s="2">
        <v>4</v>
      </c>
      <c r="G5" s="2" t="s">
        <v>29</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93"/>
  <sheetViews>
    <sheetView workbookViewId="0">
      <selection activeCell="E62" sqref="E62"/>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7" t="s">
        <v>81</v>
      </c>
      <c r="B1" s="17" t="s">
        <v>2</v>
      </c>
      <c r="C1" s="17" t="s">
        <v>124</v>
      </c>
      <c r="D1" s="17" t="s">
        <v>125</v>
      </c>
      <c r="E1" s="17" t="s">
        <v>67</v>
      </c>
      <c r="F1" s="17" t="s">
        <v>126</v>
      </c>
    </row>
    <row r="2" spans="1:6" x14ac:dyDescent="0.2">
      <c r="A2" s="2" t="s">
        <v>95</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95</v>
      </c>
      <c r="B3" s="2" t="s">
        <v>21</v>
      </c>
      <c r="C3" s="2">
        <v>2</v>
      </c>
      <c r="D3" s="2">
        <v>0</v>
      </c>
      <c r="E3" s="2">
        <v>2</v>
      </c>
      <c r="F3" s="2" t="str">
        <f t="shared" si="0"/>
        <v>0th</v>
      </c>
    </row>
    <row r="4" spans="1:6" x14ac:dyDescent="0.2">
      <c r="A4" s="2" t="s">
        <v>95</v>
      </c>
      <c r="B4" s="2" t="s">
        <v>21</v>
      </c>
      <c r="C4" s="2">
        <v>3</v>
      </c>
      <c r="D4" s="2">
        <v>0</v>
      </c>
      <c r="E4" s="2">
        <v>3</v>
      </c>
      <c r="F4" s="2" t="str">
        <f t="shared" si="0"/>
        <v>0th</v>
      </c>
    </row>
    <row r="5" spans="1:6" x14ac:dyDescent="0.2">
      <c r="A5" s="2" t="s">
        <v>95</v>
      </c>
      <c r="B5" s="2" t="s">
        <v>21</v>
      </c>
      <c r="C5" s="2">
        <v>4</v>
      </c>
      <c r="D5" s="2">
        <v>0</v>
      </c>
      <c r="E5" s="2">
        <v>4</v>
      </c>
      <c r="F5" s="2" t="str">
        <f t="shared" si="0"/>
        <v>0th</v>
      </c>
    </row>
    <row r="6" spans="1:6" x14ac:dyDescent="0.2">
      <c r="A6" s="2" t="s">
        <v>95</v>
      </c>
      <c r="B6" s="2" t="s">
        <v>21</v>
      </c>
      <c r="C6" s="2">
        <v>5</v>
      </c>
      <c r="D6" s="2">
        <v>0</v>
      </c>
      <c r="E6" s="2">
        <v>5</v>
      </c>
      <c r="F6" s="2" t="str">
        <f t="shared" si="0"/>
        <v>0th</v>
      </c>
    </row>
    <row r="7" spans="1:6" x14ac:dyDescent="0.2">
      <c r="A7" s="2" t="s">
        <v>95</v>
      </c>
      <c r="B7" s="2" t="s">
        <v>21</v>
      </c>
      <c r="C7" s="2">
        <v>6</v>
      </c>
      <c r="D7" s="2">
        <v>0.1</v>
      </c>
      <c r="E7" s="2">
        <v>6</v>
      </c>
      <c r="F7" s="2" t="str">
        <f t="shared" si="0"/>
        <v>0th</v>
      </c>
    </row>
    <row r="8" spans="1:6" x14ac:dyDescent="0.2">
      <c r="A8" s="2" t="s">
        <v>95</v>
      </c>
      <c r="B8" s="2" t="s">
        <v>21</v>
      </c>
      <c r="C8" s="2">
        <v>7</v>
      </c>
      <c r="D8" s="2">
        <v>0.3</v>
      </c>
      <c r="E8" s="2">
        <v>7</v>
      </c>
      <c r="F8" s="2" t="str">
        <f t="shared" si="0"/>
        <v>0th</v>
      </c>
    </row>
    <row r="9" spans="1:6" x14ac:dyDescent="0.2">
      <c r="A9" s="2" t="s">
        <v>95</v>
      </c>
      <c r="B9" s="2" t="s">
        <v>21</v>
      </c>
      <c r="C9" s="2">
        <v>8</v>
      </c>
      <c r="D9" s="2">
        <v>0.6</v>
      </c>
      <c r="E9" s="2">
        <v>8</v>
      </c>
      <c r="F9" s="2" t="str">
        <f t="shared" si="0"/>
        <v>1st</v>
      </c>
    </row>
    <row r="10" spans="1:6" x14ac:dyDescent="0.2">
      <c r="A10" s="2" t="s">
        <v>95</v>
      </c>
      <c r="B10" s="2" t="s">
        <v>21</v>
      </c>
      <c r="C10" s="2">
        <v>9</v>
      </c>
      <c r="D10" s="2">
        <v>1</v>
      </c>
      <c r="E10" s="2">
        <v>9</v>
      </c>
      <c r="F10" s="2" t="str">
        <f t="shared" si="0"/>
        <v>1st</v>
      </c>
    </row>
    <row r="11" spans="1:6" x14ac:dyDescent="0.2">
      <c r="A11" s="2" t="s">
        <v>95</v>
      </c>
      <c r="B11" s="2" t="s">
        <v>21</v>
      </c>
      <c r="C11" s="2">
        <v>10</v>
      </c>
      <c r="D11" s="2">
        <v>1.5</v>
      </c>
      <c r="E11" s="2">
        <v>10</v>
      </c>
      <c r="F11" s="2" t="str">
        <f t="shared" si="0"/>
        <v>2nd</v>
      </c>
    </row>
    <row r="12" spans="1:6" x14ac:dyDescent="0.2">
      <c r="A12" s="2" t="s">
        <v>95</v>
      </c>
      <c r="B12" s="2" t="s">
        <v>21</v>
      </c>
      <c r="C12" s="2">
        <v>11</v>
      </c>
      <c r="D12" s="2">
        <v>2.2000000000000002</v>
      </c>
      <c r="E12" s="2">
        <v>11</v>
      </c>
      <c r="F12" s="2" t="str">
        <f t="shared" si="0"/>
        <v>2nd</v>
      </c>
    </row>
    <row r="13" spans="1:6" x14ac:dyDescent="0.2">
      <c r="A13" s="2" t="s">
        <v>95</v>
      </c>
      <c r="B13" s="2" t="s">
        <v>21</v>
      </c>
      <c r="C13" s="2">
        <v>12</v>
      </c>
      <c r="D13" s="2">
        <v>3.1</v>
      </c>
      <c r="E13" s="2">
        <v>12</v>
      </c>
      <c r="F13" s="2" t="str">
        <f t="shared" si="0"/>
        <v>3rd</v>
      </c>
    </row>
    <row r="14" spans="1:6" x14ac:dyDescent="0.2">
      <c r="A14" s="2" t="s">
        <v>95</v>
      </c>
      <c r="B14" s="2" t="s">
        <v>21</v>
      </c>
      <c r="C14" s="2">
        <v>13</v>
      </c>
      <c r="D14" s="2">
        <v>4.2</v>
      </c>
      <c r="E14" s="2">
        <v>13</v>
      </c>
      <c r="F14" s="2" t="str">
        <f t="shared" si="0"/>
        <v>4th</v>
      </c>
    </row>
    <row r="15" spans="1:6" x14ac:dyDescent="0.2">
      <c r="A15" s="2" t="s">
        <v>95</v>
      </c>
      <c r="B15" s="2" t="s">
        <v>21</v>
      </c>
      <c r="C15" s="2">
        <v>14</v>
      </c>
      <c r="D15" s="2">
        <v>5.5</v>
      </c>
      <c r="E15" s="2">
        <v>14</v>
      </c>
      <c r="F15" s="2" t="str">
        <f t="shared" si="0"/>
        <v>6th</v>
      </c>
    </row>
    <row r="16" spans="1:6" x14ac:dyDescent="0.2">
      <c r="A16" s="2" t="s">
        <v>95</v>
      </c>
      <c r="B16" s="2" t="s">
        <v>21</v>
      </c>
      <c r="C16" s="2">
        <v>15</v>
      </c>
      <c r="D16" s="2">
        <v>7.2</v>
      </c>
      <c r="E16" s="2">
        <v>15</v>
      </c>
      <c r="F16" s="2" t="str">
        <f t="shared" si="0"/>
        <v>7th</v>
      </c>
    </row>
    <row r="17" spans="1:6" x14ac:dyDescent="0.2">
      <c r="A17" s="2" t="s">
        <v>95</v>
      </c>
      <c r="B17" s="2" t="s">
        <v>21</v>
      </c>
      <c r="C17" s="2">
        <v>16</v>
      </c>
      <c r="D17" s="2">
        <v>9.1999999999999993</v>
      </c>
      <c r="E17" s="2">
        <v>16</v>
      </c>
      <c r="F17" s="2" t="str">
        <f t="shared" si="0"/>
        <v>9th</v>
      </c>
    </row>
    <row r="18" spans="1:6" x14ac:dyDescent="0.2">
      <c r="A18" s="2" t="s">
        <v>95</v>
      </c>
      <c r="B18" s="2" t="s">
        <v>21</v>
      </c>
      <c r="C18" s="2">
        <v>17</v>
      </c>
      <c r="D18" s="2">
        <v>11.5</v>
      </c>
      <c r="E18" s="2">
        <v>17</v>
      </c>
      <c r="F18" s="2" t="str">
        <f t="shared" ref="F18:F81" si="1">IF(RIGHT(ROUND(D18,0),2)="13",ROUND(D18,0)&amp;"th",IF(RIGHT(ROUND(D18,0),2)="12",ROUND(D18,0)&amp;"th",IF(RIGHT(ROUND(D18,0),2)="11",ROUND(D18,0)&amp;"th",IF(RIGHT(ROUND(D18,0),1)="1",ROUND(D18,0)&amp;"st",IF(RIGHT(ROUND(D18,0),1)="2",ROUND(D18,0)&amp;"nd",IF(RIGHT(ROUND(D18,0),1)="3",ROUND(D18,0)&amp;"rd",ROUND(D18,0)&amp;"th"))))))</f>
        <v>12th</v>
      </c>
    </row>
    <row r="19" spans="1:6" x14ac:dyDescent="0.2">
      <c r="A19" s="2" t="s">
        <v>95</v>
      </c>
      <c r="B19" s="2" t="s">
        <v>21</v>
      </c>
      <c r="C19" s="2">
        <v>18</v>
      </c>
      <c r="D19" s="2">
        <v>14.2</v>
      </c>
      <c r="E19" s="2">
        <v>18</v>
      </c>
      <c r="F19" s="2" t="str">
        <f t="shared" si="1"/>
        <v>14th</v>
      </c>
    </row>
    <row r="20" spans="1:6" x14ac:dyDescent="0.2">
      <c r="A20" s="2" t="s">
        <v>95</v>
      </c>
      <c r="B20" s="2" t="s">
        <v>21</v>
      </c>
      <c r="C20" s="2">
        <v>19</v>
      </c>
      <c r="D20" s="2">
        <v>17.399999999999999</v>
      </c>
      <c r="E20" s="2">
        <v>19</v>
      </c>
      <c r="F20" s="2" t="str">
        <f t="shared" si="1"/>
        <v>17th</v>
      </c>
    </row>
    <row r="21" spans="1:6" x14ac:dyDescent="0.2">
      <c r="A21" s="2" t="s">
        <v>95</v>
      </c>
      <c r="B21" s="2" t="s">
        <v>21</v>
      </c>
      <c r="C21" s="2">
        <v>20</v>
      </c>
      <c r="D21" s="2">
        <v>21.1</v>
      </c>
      <c r="E21" s="2">
        <v>20</v>
      </c>
      <c r="F21" s="2" t="str">
        <f t="shared" si="1"/>
        <v>21st</v>
      </c>
    </row>
    <row r="22" spans="1:6" x14ac:dyDescent="0.2">
      <c r="A22" s="2" t="s">
        <v>95</v>
      </c>
      <c r="B22" s="2" t="s">
        <v>21</v>
      </c>
      <c r="C22" s="2">
        <v>21</v>
      </c>
      <c r="D22" s="2">
        <v>25.3</v>
      </c>
      <c r="E22" s="2">
        <v>21</v>
      </c>
      <c r="F22" s="2" t="str">
        <f t="shared" si="1"/>
        <v>25th</v>
      </c>
    </row>
    <row r="23" spans="1:6" x14ac:dyDescent="0.2">
      <c r="A23" s="2" t="s">
        <v>95</v>
      </c>
      <c r="B23" s="2" t="s">
        <v>21</v>
      </c>
      <c r="C23" s="2">
        <v>22</v>
      </c>
      <c r="D23" s="2">
        <v>29.9</v>
      </c>
      <c r="E23" s="2">
        <v>22</v>
      </c>
      <c r="F23" s="2" t="str">
        <f t="shared" si="1"/>
        <v>30th</v>
      </c>
    </row>
    <row r="24" spans="1:6" x14ac:dyDescent="0.2">
      <c r="A24" s="2" t="s">
        <v>95</v>
      </c>
      <c r="B24" s="2" t="s">
        <v>21</v>
      </c>
      <c r="C24" s="2">
        <v>23</v>
      </c>
      <c r="D24" s="2">
        <v>35.1</v>
      </c>
      <c r="E24" s="2">
        <v>23</v>
      </c>
      <c r="F24" s="2" t="str">
        <f t="shared" si="1"/>
        <v>35th</v>
      </c>
    </row>
    <row r="25" spans="1:6" x14ac:dyDescent="0.2">
      <c r="A25" s="2" t="s">
        <v>95</v>
      </c>
      <c r="B25" s="2" t="s">
        <v>21</v>
      </c>
      <c r="C25" s="2">
        <v>24</v>
      </c>
      <c r="D25" s="2">
        <v>40.799999999999997</v>
      </c>
      <c r="E25" s="2">
        <v>24</v>
      </c>
      <c r="F25" s="2" t="str">
        <f t="shared" si="1"/>
        <v>41st</v>
      </c>
    </row>
    <row r="26" spans="1:6" x14ac:dyDescent="0.2">
      <c r="A26" s="2" t="s">
        <v>95</v>
      </c>
      <c r="B26" s="2" t="s">
        <v>21</v>
      </c>
      <c r="C26" s="2">
        <v>25</v>
      </c>
      <c r="D26" s="2">
        <v>46.9</v>
      </c>
      <c r="E26" s="2">
        <v>25</v>
      </c>
      <c r="F26" s="2" t="str">
        <f t="shared" si="1"/>
        <v>47th</v>
      </c>
    </row>
    <row r="27" spans="1:6" x14ac:dyDescent="0.2">
      <c r="A27" s="2" t="s">
        <v>95</v>
      </c>
      <c r="B27" s="2" t="s">
        <v>21</v>
      </c>
      <c r="C27" s="2">
        <v>26</v>
      </c>
      <c r="D27" s="2">
        <v>53.1</v>
      </c>
      <c r="E27" s="2">
        <v>26</v>
      </c>
      <c r="F27" s="2" t="str">
        <f t="shared" si="1"/>
        <v>53rd</v>
      </c>
    </row>
    <row r="28" spans="1:6" x14ac:dyDescent="0.2">
      <c r="A28" s="2" t="s">
        <v>95</v>
      </c>
      <c r="B28" s="2" t="s">
        <v>21</v>
      </c>
      <c r="C28" s="2">
        <v>27</v>
      </c>
      <c r="D28" s="2">
        <v>59.3</v>
      </c>
      <c r="E28" s="2">
        <v>27</v>
      </c>
      <c r="F28" s="2" t="str">
        <f t="shared" si="1"/>
        <v>59th</v>
      </c>
    </row>
    <row r="29" spans="1:6" x14ac:dyDescent="0.2">
      <c r="A29" s="2" t="s">
        <v>95</v>
      </c>
      <c r="B29" s="2" t="s">
        <v>21</v>
      </c>
      <c r="C29" s="2">
        <v>28</v>
      </c>
      <c r="D29" s="2">
        <v>65.5</v>
      </c>
      <c r="E29" s="2">
        <v>28</v>
      </c>
      <c r="F29" s="2" t="str">
        <f t="shared" si="1"/>
        <v>66th</v>
      </c>
    </row>
    <row r="30" spans="1:6" x14ac:dyDescent="0.2">
      <c r="A30" s="2" t="s">
        <v>95</v>
      </c>
      <c r="B30" s="2" t="s">
        <v>21</v>
      </c>
      <c r="C30" s="2">
        <v>29</v>
      </c>
      <c r="D30" s="2">
        <v>71.400000000000006</v>
      </c>
      <c r="E30" s="2">
        <v>29</v>
      </c>
      <c r="F30" s="2" t="str">
        <f t="shared" si="1"/>
        <v>71st</v>
      </c>
    </row>
    <row r="31" spans="1:6" x14ac:dyDescent="0.2">
      <c r="A31" s="2" t="s">
        <v>95</v>
      </c>
      <c r="B31" s="2" t="s">
        <v>21</v>
      </c>
      <c r="C31" s="2">
        <v>30</v>
      </c>
      <c r="D31" s="2">
        <v>76.900000000000006</v>
      </c>
      <c r="E31" s="2">
        <v>30</v>
      </c>
      <c r="F31" s="2" t="str">
        <f t="shared" si="1"/>
        <v>77th</v>
      </c>
    </row>
    <row r="32" spans="1:6" x14ac:dyDescent="0.2">
      <c r="A32" s="2" t="s">
        <v>95</v>
      </c>
      <c r="B32" s="2" t="s">
        <v>21</v>
      </c>
      <c r="C32" s="2">
        <v>31</v>
      </c>
      <c r="D32" s="2">
        <v>81.8</v>
      </c>
      <c r="E32" s="2">
        <v>31</v>
      </c>
      <c r="F32" s="2" t="str">
        <f t="shared" si="1"/>
        <v>82nd</v>
      </c>
    </row>
    <row r="33" spans="1:6" x14ac:dyDescent="0.2">
      <c r="A33" s="2" t="s">
        <v>95</v>
      </c>
      <c r="B33" s="2" t="s">
        <v>21</v>
      </c>
      <c r="C33" s="2">
        <v>32</v>
      </c>
      <c r="D33" s="2">
        <v>86</v>
      </c>
      <c r="E33" s="2">
        <v>32</v>
      </c>
      <c r="F33" s="2" t="str">
        <f t="shared" si="1"/>
        <v>86th</v>
      </c>
    </row>
    <row r="34" spans="1:6" x14ac:dyDescent="0.2">
      <c r="A34" s="2" t="s">
        <v>95</v>
      </c>
      <c r="B34" s="2" t="s">
        <v>21</v>
      </c>
      <c r="C34" s="2">
        <v>33</v>
      </c>
      <c r="D34" s="2">
        <v>89.6</v>
      </c>
      <c r="E34" s="2">
        <v>33</v>
      </c>
      <c r="F34" s="2" t="str">
        <f t="shared" si="1"/>
        <v>90th</v>
      </c>
    </row>
    <row r="35" spans="1:6" x14ac:dyDescent="0.2">
      <c r="A35" s="2" t="s">
        <v>95</v>
      </c>
      <c r="B35" s="2" t="s">
        <v>21</v>
      </c>
      <c r="C35" s="2">
        <v>34</v>
      </c>
      <c r="D35" s="2">
        <v>92.4</v>
      </c>
      <c r="E35" s="2">
        <v>34</v>
      </c>
      <c r="F35" s="2" t="str">
        <f t="shared" si="1"/>
        <v>92nd</v>
      </c>
    </row>
    <row r="36" spans="1:6" x14ac:dyDescent="0.2">
      <c r="A36" s="2" t="s">
        <v>95</v>
      </c>
      <c r="B36" s="2" t="s">
        <v>21</v>
      </c>
      <c r="C36" s="2">
        <v>35</v>
      </c>
      <c r="D36" s="2">
        <v>94.7</v>
      </c>
      <c r="E36" s="2">
        <v>35</v>
      </c>
      <c r="F36" s="2" t="str">
        <f t="shared" si="1"/>
        <v>95th</v>
      </c>
    </row>
    <row r="37" spans="1:6" x14ac:dyDescent="0.2">
      <c r="A37" s="2" t="s">
        <v>95</v>
      </c>
      <c r="B37" s="2" t="s">
        <v>21</v>
      </c>
      <c r="C37" s="2">
        <v>36</v>
      </c>
      <c r="D37" s="2">
        <v>96.5</v>
      </c>
      <c r="E37" s="2">
        <v>36</v>
      </c>
      <c r="F37" s="2" t="str">
        <f t="shared" si="1"/>
        <v>97th</v>
      </c>
    </row>
    <row r="38" spans="1:6" x14ac:dyDescent="0.2">
      <c r="A38" s="2" t="s">
        <v>95</v>
      </c>
      <c r="B38" s="2" t="s">
        <v>21</v>
      </c>
      <c r="C38" s="2">
        <v>37</v>
      </c>
      <c r="D38" s="2">
        <v>97.8</v>
      </c>
      <c r="E38" s="2">
        <v>37</v>
      </c>
      <c r="F38" s="2" t="str">
        <f t="shared" si="1"/>
        <v>98th</v>
      </c>
    </row>
    <row r="39" spans="1:6" x14ac:dyDescent="0.2">
      <c r="A39" s="2" t="s">
        <v>95</v>
      </c>
      <c r="B39" s="2" t="s">
        <v>21</v>
      </c>
      <c r="C39" s="2">
        <v>38</v>
      </c>
      <c r="D39" s="2">
        <v>98.7</v>
      </c>
      <c r="E39" s="2">
        <v>38</v>
      </c>
      <c r="F39" s="2" t="str">
        <f t="shared" si="1"/>
        <v>99th</v>
      </c>
    </row>
    <row r="40" spans="1:6" x14ac:dyDescent="0.2">
      <c r="A40" s="2" t="s">
        <v>95</v>
      </c>
      <c r="B40" s="2" t="s">
        <v>21</v>
      </c>
      <c r="C40" s="2">
        <v>39</v>
      </c>
      <c r="D40" s="2">
        <v>99.3</v>
      </c>
      <c r="E40" s="2">
        <v>39</v>
      </c>
      <c r="F40" s="2" t="str">
        <f t="shared" si="1"/>
        <v>99th</v>
      </c>
    </row>
    <row r="41" spans="1:6" x14ac:dyDescent="0.2">
      <c r="A41" s="2" t="s">
        <v>95</v>
      </c>
      <c r="B41" s="2" t="s">
        <v>21</v>
      </c>
      <c r="C41" s="2">
        <v>40</v>
      </c>
      <c r="D41" s="2">
        <v>99.6</v>
      </c>
      <c r="E41" s="2">
        <v>40</v>
      </c>
      <c r="F41" s="2" t="str">
        <f t="shared" si="1"/>
        <v>100th</v>
      </c>
    </row>
    <row r="42" spans="1:6" x14ac:dyDescent="0.2">
      <c r="A42" s="2" t="s">
        <v>95</v>
      </c>
      <c r="B42" s="2" t="s">
        <v>21</v>
      </c>
      <c r="C42" s="2">
        <v>41</v>
      </c>
      <c r="D42" s="2">
        <v>99.9</v>
      </c>
      <c r="E42" s="2">
        <v>41</v>
      </c>
      <c r="F42" s="2" t="str">
        <f t="shared" si="1"/>
        <v>100th</v>
      </c>
    </row>
    <row r="43" spans="1:6" x14ac:dyDescent="0.2">
      <c r="A43" s="2" t="s">
        <v>95</v>
      </c>
      <c r="B43" s="2" t="s">
        <v>21</v>
      </c>
      <c r="C43" s="2">
        <v>42</v>
      </c>
      <c r="D43" s="2">
        <v>99.9</v>
      </c>
      <c r="E43" s="2">
        <v>42</v>
      </c>
      <c r="F43" s="2" t="str">
        <f t="shared" si="1"/>
        <v>100th</v>
      </c>
    </row>
    <row r="44" spans="1:6" x14ac:dyDescent="0.2">
      <c r="A44" s="2" t="s">
        <v>95</v>
      </c>
      <c r="B44" s="2" t="s">
        <v>21</v>
      </c>
      <c r="C44" s="2">
        <v>43</v>
      </c>
      <c r="D44" s="2">
        <v>99.9</v>
      </c>
      <c r="E44" s="2">
        <v>43</v>
      </c>
      <c r="F44" s="2" t="str">
        <f t="shared" si="1"/>
        <v>100th</v>
      </c>
    </row>
    <row r="45" spans="1:6" x14ac:dyDescent="0.2">
      <c r="A45" s="2" t="s">
        <v>95</v>
      </c>
      <c r="B45" s="2" t="s">
        <v>21</v>
      </c>
      <c r="C45" s="2">
        <v>44</v>
      </c>
      <c r="D45" s="2">
        <v>99.9</v>
      </c>
      <c r="E45" s="2">
        <v>44</v>
      </c>
      <c r="F45" s="2" t="str">
        <f t="shared" si="1"/>
        <v>100th</v>
      </c>
    </row>
    <row r="46" spans="1:6" x14ac:dyDescent="0.2">
      <c r="A46" s="2" t="s">
        <v>95</v>
      </c>
      <c r="B46" s="2" t="s">
        <v>21</v>
      </c>
      <c r="C46" s="2">
        <v>45</v>
      </c>
      <c r="D46" s="2">
        <v>99.9</v>
      </c>
      <c r="E46" s="2">
        <v>45</v>
      </c>
      <c r="F46" s="2" t="str">
        <f t="shared" si="1"/>
        <v>100th</v>
      </c>
    </row>
    <row r="47" spans="1:6" x14ac:dyDescent="0.2">
      <c r="A47" s="2" t="s">
        <v>95</v>
      </c>
      <c r="B47" s="2" t="s">
        <v>3</v>
      </c>
      <c r="C47" s="2">
        <v>0</v>
      </c>
      <c r="D47" s="2">
        <v>0.1</v>
      </c>
      <c r="E47" s="2">
        <v>1</v>
      </c>
      <c r="F47" s="2" t="str">
        <f t="shared" si="1"/>
        <v>0th</v>
      </c>
    </row>
    <row r="48" spans="1:6" x14ac:dyDescent="0.2">
      <c r="A48" s="2" t="s">
        <v>95</v>
      </c>
      <c r="B48" s="2" t="s">
        <v>3</v>
      </c>
      <c r="C48" s="2">
        <v>1</v>
      </c>
      <c r="D48" s="2">
        <v>0.1</v>
      </c>
      <c r="E48" s="2">
        <v>1</v>
      </c>
      <c r="F48" s="2" t="str">
        <f t="shared" si="1"/>
        <v>0th</v>
      </c>
    </row>
    <row r="49" spans="1:6" x14ac:dyDescent="0.2">
      <c r="A49" s="2" t="s">
        <v>95</v>
      </c>
      <c r="B49" s="2" t="s">
        <v>3</v>
      </c>
      <c r="C49" s="2">
        <v>2</v>
      </c>
      <c r="D49" s="2">
        <v>0.1</v>
      </c>
      <c r="E49" s="2">
        <v>1</v>
      </c>
      <c r="F49" s="2" t="str">
        <f t="shared" si="1"/>
        <v>0th</v>
      </c>
    </row>
    <row r="50" spans="1:6" x14ac:dyDescent="0.2">
      <c r="A50" s="2" t="s">
        <v>95</v>
      </c>
      <c r="B50" s="2" t="s">
        <v>3</v>
      </c>
      <c r="C50" s="2">
        <v>3</v>
      </c>
      <c r="D50" s="2">
        <v>0.1</v>
      </c>
      <c r="E50" s="2">
        <v>1</v>
      </c>
      <c r="F50" s="2" t="str">
        <f t="shared" si="1"/>
        <v>0th</v>
      </c>
    </row>
    <row r="51" spans="1:6" x14ac:dyDescent="0.2">
      <c r="A51" s="2" t="s">
        <v>95</v>
      </c>
      <c r="B51" s="2" t="s">
        <v>3</v>
      </c>
      <c r="C51" s="2">
        <v>4</v>
      </c>
      <c r="D51" s="2">
        <v>0.1</v>
      </c>
      <c r="E51" s="2">
        <v>1</v>
      </c>
      <c r="F51" s="2" t="str">
        <f t="shared" si="1"/>
        <v>0th</v>
      </c>
    </row>
    <row r="52" spans="1:6" x14ac:dyDescent="0.2">
      <c r="A52" s="2" t="s">
        <v>95</v>
      </c>
      <c r="B52" s="2" t="s">
        <v>3</v>
      </c>
      <c r="C52" s="2">
        <v>5</v>
      </c>
      <c r="D52" s="2">
        <v>0.1</v>
      </c>
      <c r="E52" s="2">
        <v>1</v>
      </c>
      <c r="F52" s="2" t="str">
        <f t="shared" si="1"/>
        <v>0th</v>
      </c>
    </row>
    <row r="53" spans="1:6" x14ac:dyDescent="0.2">
      <c r="A53" s="2" t="s">
        <v>95</v>
      </c>
      <c r="B53" s="2" t="s">
        <v>3</v>
      </c>
      <c r="C53" s="2">
        <v>6</v>
      </c>
      <c r="D53" s="2">
        <v>0.3</v>
      </c>
      <c r="E53" s="2">
        <v>2</v>
      </c>
      <c r="F53" s="2" t="str">
        <f t="shared" si="1"/>
        <v>0th</v>
      </c>
    </row>
    <row r="54" spans="1:6" x14ac:dyDescent="0.2">
      <c r="A54" s="2" t="s">
        <v>95</v>
      </c>
      <c r="B54" s="2" t="s">
        <v>3</v>
      </c>
      <c r="C54" s="2">
        <v>7</v>
      </c>
      <c r="D54" s="2">
        <v>0.3</v>
      </c>
      <c r="E54" s="2">
        <v>2</v>
      </c>
      <c r="F54" s="2" t="str">
        <f t="shared" si="1"/>
        <v>0th</v>
      </c>
    </row>
    <row r="55" spans="1:6" x14ac:dyDescent="0.2">
      <c r="A55" s="2" t="s">
        <v>95</v>
      </c>
      <c r="B55" s="2" t="s">
        <v>3</v>
      </c>
      <c r="C55" s="2">
        <v>8</v>
      </c>
      <c r="D55" s="2">
        <v>0.3</v>
      </c>
      <c r="E55" s="2">
        <v>2</v>
      </c>
      <c r="F55" s="2" t="str">
        <f t="shared" si="1"/>
        <v>0th</v>
      </c>
    </row>
    <row r="56" spans="1:6" x14ac:dyDescent="0.2">
      <c r="A56" s="2" t="s">
        <v>95</v>
      </c>
      <c r="B56" s="2" t="s">
        <v>3</v>
      </c>
      <c r="C56" s="2">
        <v>9</v>
      </c>
      <c r="D56" s="2">
        <v>0.3</v>
      </c>
      <c r="E56" s="2">
        <v>2</v>
      </c>
      <c r="F56" s="2" t="str">
        <f t="shared" si="1"/>
        <v>0th</v>
      </c>
    </row>
    <row r="57" spans="1:6" x14ac:dyDescent="0.2">
      <c r="A57" s="2" t="s">
        <v>95</v>
      </c>
      <c r="B57" s="2" t="s">
        <v>3</v>
      </c>
      <c r="C57" s="2">
        <v>10</v>
      </c>
      <c r="D57" s="2">
        <v>0.3</v>
      </c>
      <c r="E57" s="2">
        <v>2</v>
      </c>
      <c r="F57" s="2" t="str">
        <f t="shared" si="1"/>
        <v>0th</v>
      </c>
    </row>
    <row r="58" spans="1:6" x14ac:dyDescent="0.2">
      <c r="A58" s="2" t="s">
        <v>95</v>
      </c>
      <c r="B58" s="2" t="s">
        <v>3</v>
      </c>
      <c r="C58" s="2">
        <v>11</v>
      </c>
      <c r="D58" s="2">
        <v>0.3</v>
      </c>
      <c r="E58" s="2">
        <v>2</v>
      </c>
      <c r="F58" s="2" t="str">
        <f t="shared" si="1"/>
        <v>0th</v>
      </c>
    </row>
    <row r="59" spans="1:6" x14ac:dyDescent="0.2">
      <c r="A59" s="2" t="s">
        <v>95</v>
      </c>
      <c r="B59" s="2" t="s">
        <v>3</v>
      </c>
      <c r="C59" s="2">
        <v>12</v>
      </c>
      <c r="D59" s="2">
        <v>1.2</v>
      </c>
      <c r="E59" s="2">
        <v>3</v>
      </c>
      <c r="F59" s="2" t="str">
        <f t="shared" si="1"/>
        <v>1st</v>
      </c>
    </row>
    <row r="60" spans="1:6" x14ac:dyDescent="0.2">
      <c r="A60" s="2" t="s">
        <v>95</v>
      </c>
      <c r="B60" s="2" t="s">
        <v>3</v>
      </c>
      <c r="C60" s="2">
        <v>13</v>
      </c>
      <c r="D60" s="2">
        <v>1.2</v>
      </c>
      <c r="E60" s="2">
        <v>3</v>
      </c>
      <c r="F60" s="2" t="str">
        <f t="shared" si="1"/>
        <v>1st</v>
      </c>
    </row>
    <row r="61" spans="1:6" x14ac:dyDescent="0.2">
      <c r="A61" s="2" t="s">
        <v>95</v>
      </c>
      <c r="B61" s="2" t="s">
        <v>3</v>
      </c>
      <c r="C61" s="2">
        <v>14</v>
      </c>
      <c r="D61" s="2">
        <v>1.2</v>
      </c>
      <c r="E61" s="2">
        <v>3</v>
      </c>
      <c r="F61" s="2" t="str">
        <f t="shared" si="1"/>
        <v>1st</v>
      </c>
    </row>
    <row r="62" spans="1:6" x14ac:dyDescent="0.2">
      <c r="A62" s="2" t="s">
        <v>95</v>
      </c>
      <c r="B62" s="2" t="s">
        <v>3</v>
      </c>
      <c r="C62" s="2">
        <v>15</v>
      </c>
      <c r="D62" s="2">
        <v>3.4</v>
      </c>
      <c r="E62" s="2">
        <v>4</v>
      </c>
      <c r="F62" s="2" t="str">
        <f t="shared" si="1"/>
        <v>3rd</v>
      </c>
    </row>
    <row r="63" spans="1:6" x14ac:dyDescent="0.2">
      <c r="A63" s="2" t="s">
        <v>95</v>
      </c>
      <c r="B63" s="2" t="s">
        <v>3</v>
      </c>
      <c r="C63" s="2">
        <v>16</v>
      </c>
      <c r="D63" s="2">
        <v>3.4</v>
      </c>
      <c r="E63" s="2">
        <v>4</v>
      </c>
      <c r="F63" s="2" t="str">
        <f t="shared" si="1"/>
        <v>3rd</v>
      </c>
    </row>
    <row r="64" spans="1:6" x14ac:dyDescent="0.2">
      <c r="A64" s="2" t="s">
        <v>95</v>
      </c>
      <c r="B64" s="2" t="s">
        <v>3</v>
      </c>
      <c r="C64" s="2">
        <v>17</v>
      </c>
      <c r="D64" s="2">
        <v>8.1</v>
      </c>
      <c r="E64" s="2">
        <v>5</v>
      </c>
      <c r="F64" s="2" t="str">
        <f t="shared" si="1"/>
        <v>8th</v>
      </c>
    </row>
    <row r="65" spans="1:6" x14ac:dyDescent="0.2">
      <c r="A65" s="2" t="s">
        <v>95</v>
      </c>
      <c r="B65" s="2" t="s">
        <v>3</v>
      </c>
      <c r="C65" s="2">
        <v>18</v>
      </c>
      <c r="D65" s="2">
        <v>8.1</v>
      </c>
      <c r="E65" s="2">
        <v>5</v>
      </c>
      <c r="F65" s="2" t="str">
        <f t="shared" si="1"/>
        <v>8th</v>
      </c>
    </row>
    <row r="66" spans="1:6" x14ac:dyDescent="0.2">
      <c r="A66" s="2" t="s">
        <v>95</v>
      </c>
      <c r="B66" s="2" t="s">
        <v>3</v>
      </c>
      <c r="C66" s="2">
        <v>19</v>
      </c>
      <c r="D66" s="2">
        <v>17.399999999999999</v>
      </c>
      <c r="E66" s="2">
        <v>6</v>
      </c>
      <c r="F66" s="2" t="str">
        <f t="shared" si="1"/>
        <v>17th</v>
      </c>
    </row>
    <row r="67" spans="1:6" x14ac:dyDescent="0.2">
      <c r="A67" s="2" t="s">
        <v>95</v>
      </c>
      <c r="B67" s="2" t="s">
        <v>3</v>
      </c>
      <c r="C67" s="2">
        <v>20</v>
      </c>
      <c r="D67" s="2">
        <v>17.399999999999999</v>
      </c>
      <c r="E67" s="2">
        <v>6</v>
      </c>
      <c r="F67" s="2" t="str">
        <f t="shared" si="1"/>
        <v>17th</v>
      </c>
    </row>
    <row r="68" spans="1:6" x14ac:dyDescent="0.2">
      <c r="A68" s="2" t="s">
        <v>95</v>
      </c>
      <c r="B68" s="2" t="s">
        <v>3</v>
      </c>
      <c r="C68" s="2">
        <v>21</v>
      </c>
      <c r="D68" s="2">
        <v>31</v>
      </c>
      <c r="E68" s="2">
        <v>7</v>
      </c>
      <c r="F68" s="2" t="str">
        <f t="shared" si="1"/>
        <v>31st</v>
      </c>
    </row>
    <row r="69" spans="1:6" x14ac:dyDescent="0.2">
      <c r="A69" s="2" t="s">
        <v>95</v>
      </c>
      <c r="B69" s="2" t="s">
        <v>3</v>
      </c>
      <c r="C69" s="2">
        <v>22</v>
      </c>
      <c r="D69" s="2">
        <v>31</v>
      </c>
      <c r="E69" s="2">
        <v>7</v>
      </c>
      <c r="F69" s="2" t="str">
        <f t="shared" si="1"/>
        <v>31st</v>
      </c>
    </row>
    <row r="70" spans="1:6" x14ac:dyDescent="0.2">
      <c r="A70" s="2" t="s">
        <v>95</v>
      </c>
      <c r="B70" s="2" t="s">
        <v>3</v>
      </c>
      <c r="C70" s="2">
        <v>23</v>
      </c>
      <c r="D70" s="2">
        <v>31</v>
      </c>
      <c r="E70" s="2">
        <v>7</v>
      </c>
      <c r="F70" s="2" t="str">
        <f t="shared" si="1"/>
        <v>31st</v>
      </c>
    </row>
    <row r="71" spans="1:6" x14ac:dyDescent="0.2">
      <c r="A71" s="2" t="s">
        <v>95</v>
      </c>
      <c r="B71" s="2" t="s">
        <v>3</v>
      </c>
      <c r="C71" s="2">
        <v>24</v>
      </c>
      <c r="D71" s="2">
        <v>47.6</v>
      </c>
      <c r="E71" s="2">
        <v>8</v>
      </c>
      <c r="F71" s="2" t="str">
        <f t="shared" si="1"/>
        <v>48th</v>
      </c>
    </row>
    <row r="72" spans="1:6" x14ac:dyDescent="0.2">
      <c r="A72" s="2" t="s">
        <v>95</v>
      </c>
      <c r="B72" s="2" t="s">
        <v>3</v>
      </c>
      <c r="C72" s="2">
        <v>25</v>
      </c>
      <c r="D72" s="2">
        <v>47.6</v>
      </c>
      <c r="E72" s="2">
        <v>8</v>
      </c>
      <c r="F72" s="2" t="str">
        <f t="shared" si="1"/>
        <v>48th</v>
      </c>
    </row>
    <row r="73" spans="1:6" x14ac:dyDescent="0.2">
      <c r="A73" s="2" t="s">
        <v>95</v>
      </c>
      <c r="B73" s="2" t="s">
        <v>3</v>
      </c>
      <c r="C73" s="2">
        <v>26</v>
      </c>
      <c r="D73" s="2">
        <v>47.6</v>
      </c>
      <c r="E73" s="2">
        <v>8</v>
      </c>
      <c r="F73" s="2" t="str">
        <f t="shared" si="1"/>
        <v>48th</v>
      </c>
    </row>
    <row r="74" spans="1:6" x14ac:dyDescent="0.2">
      <c r="A74" s="2" t="s">
        <v>95</v>
      </c>
      <c r="B74" s="2" t="s">
        <v>3</v>
      </c>
      <c r="C74" s="2">
        <v>27</v>
      </c>
      <c r="D74" s="2">
        <v>61.6</v>
      </c>
      <c r="E74" s="2">
        <v>9</v>
      </c>
      <c r="F74" s="2" t="str">
        <f t="shared" si="1"/>
        <v>62nd</v>
      </c>
    </row>
    <row r="75" spans="1:6" x14ac:dyDescent="0.2">
      <c r="A75" s="2" t="s">
        <v>95</v>
      </c>
      <c r="B75" s="2" t="s">
        <v>3</v>
      </c>
      <c r="C75" s="2">
        <v>28</v>
      </c>
      <c r="D75" s="2">
        <v>61.6</v>
      </c>
      <c r="E75" s="2">
        <v>9</v>
      </c>
      <c r="F75" s="2" t="str">
        <f t="shared" si="1"/>
        <v>62nd</v>
      </c>
    </row>
    <row r="76" spans="1:6" x14ac:dyDescent="0.2">
      <c r="A76" s="2" t="s">
        <v>95</v>
      </c>
      <c r="B76" s="2" t="s">
        <v>3</v>
      </c>
      <c r="C76" s="2">
        <v>29</v>
      </c>
      <c r="D76" s="2">
        <v>61.6</v>
      </c>
      <c r="E76" s="2">
        <v>9</v>
      </c>
      <c r="F76" s="2" t="str">
        <f t="shared" si="1"/>
        <v>62nd</v>
      </c>
    </row>
    <row r="77" spans="1:6" x14ac:dyDescent="0.2">
      <c r="A77" s="2" t="s">
        <v>95</v>
      </c>
      <c r="B77" s="2" t="s">
        <v>3</v>
      </c>
      <c r="C77" s="2">
        <v>30</v>
      </c>
      <c r="D77" s="2">
        <v>74</v>
      </c>
      <c r="E77" s="2">
        <v>10</v>
      </c>
      <c r="F77" s="2" t="str">
        <f t="shared" si="1"/>
        <v>74th</v>
      </c>
    </row>
    <row r="78" spans="1:6" x14ac:dyDescent="0.2">
      <c r="A78" s="2" t="s">
        <v>95</v>
      </c>
      <c r="B78" s="2" t="s">
        <v>3</v>
      </c>
      <c r="C78" s="2">
        <v>31</v>
      </c>
      <c r="D78" s="2">
        <v>74</v>
      </c>
      <c r="E78" s="2">
        <v>10</v>
      </c>
      <c r="F78" s="2" t="str">
        <f t="shared" si="1"/>
        <v>74th</v>
      </c>
    </row>
    <row r="79" spans="1:6" x14ac:dyDescent="0.2">
      <c r="A79" s="2" t="s">
        <v>95</v>
      </c>
      <c r="B79" s="2" t="s">
        <v>3</v>
      </c>
      <c r="C79" s="2">
        <v>32</v>
      </c>
      <c r="D79" s="2">
        <v>74</v>
      </c>
      <c r="E79" s="2">
        <v>10</v>
      </c>
      <c r="F79" s="2" t="str">
        <f t="shared" si="1"/>
        <v>74th</v>
      </c>
    </row>
    <row r="80" spans="1:6" x14ac:dyDescent="0.2">
      <c r="A80" s="2" t="s">
        <v>95</v>
      </c>
      <c r="B80" s="2" t="s">
        <v>3</v>
      </c>
      <c r="C80" s="2">
        <v>33</v>
      </c>
      <c r="D80" s="2">
        <v>84.8</v>
      </c>
      <c r="E80" s="2">
        <v>11</v>
      </c>
      <c r="F80" s="2" t="str">
        <f t="shared" si="1"/>
        <v>85th</v>
      </c>
    </row>
    <row r="81" spans="1:6" x14ac:dyDescent="0.2">
      <c r="A81" s="2" t="s">
        <v>95</v>
      </c>
      <c r="B81" s="2" t="s">
        <v>3</v>
      </c>
      <c r="C81" s="2">
        <v>34</v>
      </c>
      <c r="D81" s="2">
        <v>84.8</v>
      </c>
      <c r="E81" s="2">
        <v>11</v>
      </c>
      <c r="F81" s="2" t="str">
        <f t="shared" si="1"/>
        <v>85th</v>
      </c>
    </row>
    <row r="82" spans="1:6" x14ac:dyDescent="0.2">
      <c r="A82" s="2" t="s">
        <v>95</v>
      </c>
      <c r="B82" s="2" t="s">
        <v>3</v>
      </c>
      <c r="C82" s="2">
        <v>35</v>
      </c>
      <c r="D82" s="2">
        <v>84.8</v>
      </c>
      <c r="E82" s="2">
        <v>11</v>
      </c>
      <c r="F82" s="2" t="str">
        <f t="shared" ref="F82:F145" si="2">IF(RIGHT(ROUND(D82,0),2)="13",ROUND(D82,0)&amp;"th",IF(RIGHT(ROUND(D82,0),2)="12",ROUND(D82,0)&amp;"th",IF(RIGHT(ROUND(D82,0),2)="11",ROUND(D82,0)&amp;"th",IF(RIGHT(ROUND(D82,0),1)="1",ROUND(D82,0)&amp;"st",IF(RIGHT(ROUND(D82,0),1)="2",ROUND(D82,0)&amp;"nd",IF(RIGHT(ROUND(D82,0),1)="3",ROUND(D82,0)&amp;"rd",ROUND(D82,0)&amp;"th"))))))</f>
        <v>85th</v>
      </c>
    </row>
    <row r="83" spans="1:6" x14ac:dyDescent="0.2">
      <c r="A83" s="2" t="s">
        <v>95</v>
      </c>
      <c r="B83" s="2" t="s">
        <v>3</v>
      </c>
      <c r="C83" s="2">
        <v>36</v>
      </c>
      <c r="D83" s="2">
        <v>84.8</v>
      </c>
      <c r="E83" s="2">
        <v>11</v>
      </c>
      <c r="F83" s="2" t="str">
        <f t="shared" si="2"/>
        <v>85th</v>
      </c>
    </row>
    <row r="84" spans="1:6" x14ac:dyDescent="0.2">
      <c r="A84" s="2" t="s">
        <v>95</v>
      </c>
      <c r="B84" s="2" t="s">
        <v>3</v>
      </c>
      <c r="C84" s="2">
        <v>37</v>
      </c>
      <c r="D84" s="2">
        <v>91.9</v>
      </c>
      <c r="E84" s="2">
        <v>12</v>
      </c>
      <c r="F84" s="2" t="str">
        <f t="shared" si="2"/>
        <v>92nd</v>
      </c>
    </row>
    <row r="85" spans="1:6" x14ac:dyDescent="0.2">
      <c r="A85" s="2" t="s">
        <v>95</v>
      </c>
      <c r="B85" s="2" t="s">
        <v>3</v>
      </c>
      <c r="C85" s="2">
        <v>38</v>
      </c>
      <c r="D85" s="2">
        <v>91.9</v>
      </c>
      <c r="E85" s="2">
        <v>12</v>
      </c>
      <c r="F85" s="2" t="str">
        <f t="shared" si="2"/>
        <v>92nd</v>
      </c>
    </row>
    <row r="86" spans="1:6" x14ac:dyDescent="0.2">
      <c r="A86" s="2" t="s">
        <v>95</v>
      </c>
      <c r="B86" s="2" t="s">
        <v>3</v>
      </c>
      <c r="C86" s="2">
        <v>39</v>
      </c>
      <c r="D86" s="2">
        <v>91.9</v>
      </c>
      <c r="E86" s="2">
        <v>12</v>
      </c>
      <c r="F86" s="2" t="str">
        <f t="shared" si="2"/>
        <v>92nd</v>
      </c>
    </row>
    <row r="87" spans="1:6" x14ac:dyDescent="0.2">
      <c r="A87" s="2" t="s">
        <v>95</v>
      </c>
      <c r="B87" s="2" t="s">
        <v>3</v>
      </c>
      <c r="C87" s="2">
        <v>40</v>
      </c>
      <c r="D87" s="2">
        <v>96.4</v>
      </c>
      <c r="E87" s="2">
        <v>13</v>
      </c>
      <c r="F87" s="2" t="str">
        <f t="shared" si="2"/>
        <v>96th</v>
      </c>
    </row>
    <row r="88" spans="1:6" x14ac:dyDescent="0.2">
      <c r="A88" s="2" t="s">
        <v>95</v>
      </c>
      <c r="B88" s="2" t="s">
        <v>3</v>
      </c>
      <c r="C88" s="2">
        <v>41</v>
      </c>
      <c r="D88" s="2">
        <v>96.4</v>
      </c>
      <c r="E88" s="2">
        <v>13</v>
      </c>
      <c r="F88" s="2" t="str">
        <f t="shared" si="2"/>
        <v>96th</v>
      </c>
    </row>
    <row r="89" spans="1:6" x14ac:dyDescent="0.2">
      <c r="A89" s="2" t="s">
        <v>95</v>
      </c>
      <c r="B89" s="2" t="s">
        <v>3</v>
      </c>
      <c r="C89" s="2">
        <v>42</v>
      </c>
      <c r="D89" s="2">
        <v>96.4</v>
      </c>
      <c r="E89" s="2">
        <v>13</v>
      </c>
      <c r="F89" s="2" t="str">
        <f t="shared" si="2"/>
        <v>96th</v>
      </c>
    </row>
    <row r="90" spans="1:6" x14ac:dyDescent="0.2">
      <c r="A90" s="2" t="s">
        <v>95</v>
      </c>
      <c r="B90" s="2" t="s">
        <v>3</v>
      </c>
      <c r="C90" s="2">
        <v>43</v>
      </c>
      <c r="D90" s="2">
        <v>98.9</v>
      </c>
      <c r="E90" s="2">
        <v>14</v>
      </c>
      <c r="F90" s="2" t="str">
        <f t="shared" si="2"/>
        <v>99th</v>
      </c>
    </row>
    <row r="91" spans="1:6" x14ac:dyDescent="0.2">
      <c r="A91" s="2" t="s">
        <v>95</v>
      </c>
      <c r="B91" s="2" t="s">
        <v>3</v>
      </c>
      <c r="C91" s="2">
        <v>44</v>
      </c>
      <c r="D91" s="2">
        <v>98.9</v>
      </c>
      <c r="E91" s="2">
        <v>14</v>
      </c>
      <c r="F91" s="2" t="str">
        <f t="shared" si="2"/>
        <v>99th</v>
      </c>
    </row>
    <row r="92" spans="1:6" x14ac:dyDescent="0.2">
      <c r="A92" s="2" t="s">
        <v>95</v>
      </c>
      <c r="B92" s="2" t="s">
        <v>3</v>
      </c>
      <c r="C92" s="2">
        <v>45</v>
      </c>
      <c r="D92" s="2">
        <v>98.9</v>
      </c>
      <c r="E92" s="2">
        <v>14</v>
      </c>
      <c r="F92" s="2" t="str">
        <f t="shared" si="2"/>
        <v>99th</v>
      </c>
    </row>
    <row r="93" spans="1:6" x14ac:dyDescent="0.2">
      <c r="A93" s="2" t="s">
        <v>95</v>
      </c>
      <c r="B93" s="2" t="s">
        <v>3</v>
      </c>
      <c r="C93" s="2">
        <v>46</v>
      </c>
      <c r="D93" s="2">
        <v>98.9</v>
      </c>
      <c r="E93" s="2">
        <v>14</v>
      </c>
      <c r="F93" s="2" t="str">
        <f t="shared" si="2"/>
        <v>99th</v>
      </c>
    </row>
    <row r="94" spans="1:6" x14ac:dyDescent="0.2">
      <c r="A94" s="2" t="s">
        <v>95</v>
      </c>
      <c r="B94" s="2" t="s">
        <v>3</v>
      </c>
      <c r="C94" s="2">
        <v>47</v>
      </c>
      <c r="D94" s="2">
        <v>99.8</v>
      </c>
      <c r="E94" s="2">
        <v>15</v>
      </c>
      <c r="F94" s="2" t="str">
        <f t="shared" si="2"/>
        <v>100th</v>
      </c>
    </row>
    <row r="95" spans="1:6" x14ac:dyDescent="0.2">
      <c r="A95" s="2" t="s">
        <v>95</v>
      </c>
      <c r="B95" s="2" t="s">
        <v>3</v>
      </c>
      <c r="C95" s="2">
        <v>48</v>
      </c>
      <c r="D95" s="2">
        <v>99.8</v>
      </c>
      <c r="E95" s="2">
        <v>15</v>
      </c>
      <c r="F95" s="2" t="str">
        <f t="shared" si="2"/>
        <v>100th</v>
      </c>
    </row>
    <row r="96" spans="1:6" x14ac:dyDescent="0.2">
      <c r="A96" s="2" t="s">
        <v>95</v>
      </c>
      <c r="B96" s="2" t="s">
        <v>3</v>
      </c>
      <c r="C96" s="2">
        <v>49</v>
      </c>
      <c r="D96" s="2">
        <v>99.8</v>
      </c>
      <c r="E96" s="2">
        <v>15</v>
      </c>
      <c r="F96" s="2" t="str">
        <f t="shared" si="2"/>
        <v>100th</v>
      </c>
    </row>
    <row r="97" spans="1:6" x14ac:dyDescent="0.2">
      <c r="A97" s="2" t="s">
        <v>95</v>
      </c>
      <c r="B97" s="2" t="s">
        <v>3</v>
      </c>
      <c r="C97" s="2">
        <v>50</v>
      </c>
      <c r="D97" s="2">
        <v>99.8</v>
      </c>
      <c r="E97" s="2">
        <v>15</v>
      </c>
      <c r="F97" s="2" t="str">
        <f t="shared" si="2"/>
        <v>100th</v>
      </c>
    </row>
    <row r="98" spans="1:6" x14ac:dyDescent="0.2">
      <c r="A98" s="2" t="s">
        <v>95</v>
      </c>
      <c r="B98" s="2" t="s">
        <v>3</v>
      </c>
      <c r="C98" s="2">
        <v>51</v>
      </c>
      <c r="D98" s="2">
        <v>99.8</v>
      </c>
      <c r="E98" s="2">
        <v>15</v>
      </c>
      <c r="F98" s="2" t="str">
        <f t="shared" si="2"/>
        <v>100th</v>
      </c>
    </row>
    <row r="99" spans="1:6" x14ac:dyDescent="0.2">
      <c r="A99" s="2" t="s">
        <v>95</v>
      </c>
      <c r="B99" s="2" t="s">
        <v>3</v>
      </c>
      <c r="C99" s="2">
        <v>52</v>
      </c>
      <c r="D99" s="2">
        <v>99.8</v>
      </c>
      <c r="E99" s="2">
        <v>15</v>
      </c>
      <c r="F99" s="2" t="str">
        <f t="shared" si="2"/>
        <v>100th</v>
      </c>
    </row>
    <row r="100" spans="1:6" x14ac:dyDescent="0.2">
      <c r="A100" s="2" t="s">
        <v>95</v>
      </c>
      <c r="B100" s="2" t="s">
        <v>4</v>
      </c>
      <c r="C100" s="2">
        <v>0</v>
      </c>
      <c r="D100" s="2">
        <v>0.4</v>
      </c>
      <c r="E100" s="2">
        <v>1</v>
      </c>
      <c r="F100" s="2" t="str">
        <f t="shared" si="2"/>
        <v>0th</v>
      </c>
    </row>
    <row r="101" spans="1:6" x14ac:dyDescent="0.2">
      <c r="A101" s="2" t="s">
        <v>95</v>
      </c>
      <c r="B101" s="2" t="s">
        <v>4</v>
      </c>
      <c r="C101" s="2">
        <v>1</v>
      </c>
      <c r="D101" s="2">
        <v>0.4</v>
      </c>
      <c r="E101" s="2">
        <v>1</v>
      </c>
      <c r="F101" s="2" t="str">
        <f t="shared" si="2"/>
        <v>0th</v>
      </c>
    </row>
    <row r="102" spans="1:6" x14ac:dyDescent="0.2">
      <c r="A102" s="2" t="s">
        <v>95</v>
      </c>
      <c r="B102" s="2" t="s">
        <v>4</v>
      </c>
      <c r="C102" s="2">
        <v>2</v>
      </c>
      <c r="D102" s="2">
        <v>0.4</v>
      </c>
      <c r="E102" s="2">
        <v>1</v>
      </c>
      <c r="F102" s="2" t="str">
        <f t="shared" si="2"/>
        <v>0th</v>
      </c>
    </row>
    <row r="103" spans="1:6" x14ac:dyDescent="0.2">
      <c r="A103" s="2" t="s">
        <v>95</v>
      </c>
      <c r="B103" s="2" t="s">
        <v>4</v>
      </c>
      <c r="C103" s="2">
        <v>3</v>
      </c>
      <c r="D103" s="2">
        <v>0.4</v>
      </c>
      <c r="E103" s="2">
        <v>1</v>
      </c>
      <c r="F103" s="2" t="str">
        <f t="shared" si="2"/>
        <v>0th</v>
      </c>
    </row>
    <row r="104" spans="1:6" x14ac:dyDescent="0.2">
      <c r="A104" s="2" t="s">
        <v>95</v>
      </c>
      <c r="B104" s="2" t="s">
        <v>4</v>
      </c>
      <c r="C104" s="2">
        <v>4</v>
      </c>
      <c r="D104" s="2">
        <v>0.4</v>
      </c>
      <c r="E104" s="2">
        <v>1</v>
      </c>
      <c r="F104" s="2" t="str">
        <f t="shared" si="2"/>
        <v>0th</v>
      </c>
    </row>
    <row r="105" spans="1:6" x14ac:dyDescent="0.2">
      <c r="A105" s="2" t="s">
        <v>95</v>
      </c>
      <c r="B105" s="2" t="s">
        <v>4</v>
      </c>
      <c r="C105" s="2">
        <v>5</v>
      </c>
      <c r="D105" s="2">
        <v>1.8</v>
      </c>
      <c r="E105" s="2">
        <v>2</v>
      </c>
      <c r="F105" s="2" t="str">
        <f t="shared" si="2"/>
        <v>2nd</v>
      </c>
    </row>
    <row r="106" spans="1:6" x14ac:dyDescent="0.2">
      <c r="A106" s="2" t="s">
        <v>95</v>
      </c>
      <c r="B106" s="2" t="s">
        <v>4</v>
      </c>
      <c r="C106" s="2">
        <v>6</v>
      </c>
      <c r="D106" s="2">
        <v>1.8</v>
      </c>
      <c r="E106" s="2">
        <v>2</v>
      </c>
      <c r="F106" s="2" t="str">
        <f t="shared" si="2"/>
        <v>2nd</v>
      </c>
    </row>
    <row r="107" spans="1:6" x14ac:dyDescent="0.2">
      <c r="A107" s="2" t="s">
        <v>95</v>
      </c>
      <c r="B107" s="2" t="s">
        <v>4</v>
      </c>
      <c r="C107" s="2">
        <v>7</v>
      </c>
      <c r="D107" s="2">
        <v>1.8</v>
      </c>
      <c r="E107" s="2">
        <v>2</v>
      </c>
      <c r="F107" s="2" t="str">
        <f t="shared" si="2"/>
        <v>2nd</v>
      </c>
    </row>
    <row r="108" spans="1:6" x14ac:dyDescent="0.2">
      <c r="A108" s="2" t="s">
        <v>95</v>
      </c>
      <c r="B108" s="2" t="s">
        <v>4</v>
      </c>
      <c r="C108" s="2">
        <v>8</v>
      </c>
      <c r="D108" s="2">
        <v>4.3</v>
      </c>
      <c r="E108" s="2">
        <v>3</v>
      </c>
      <c r="F108" s="2" t="str">
        <f t="shared" si="2"/>
        <v>4th</v>
      </c>
    </row>
    <row r="109" spans="1:6" x14ac:dyDescent="0.2">
      <c r="A109" s="2" t="s">
        <v>95</v>
      </c>
      <c r="B109" s="2" t="s">
        <v>4</v>
      </c>
      <c r="C109" s="2">
        <v>9</v>
      </c>
      <c r="D109" s="2">
        <v>4.3</v>
      </c>
      <c r="E109" s="2">
        <v>3</v>
      </c>
      <c r="F109" s="2" t="str">
        <f t="shared" si="2"/>
        <v>4th</v>
      </c>
    </row>
    <row r="110" spans="1:6" x14ac:dyDescent="0.2">
      <c r="A110" s="2" t="s">
        <v>95</v>
      </c>
      <c r="B110" s="2" t="s">
        <v>4</v>
      </c>
      <c r="C110" s="2">
        <v>10</v>
      </c>
      <c r="D110" s="2">
        <v>4.3</v>
      </c>
      <c r="E110" s="2">
        <v>3</v>
      </c>
      <c r="F110" s="2" t="str">
        <f t="shared" si="2"/>
        <v>4th</v>
      </c>
    </row>
    <row r="111" spans="1:6" x14ac:dyDescent="0.2">
      <c r="A111" s="2" t="s">
        <v>95</v>
      </c>
      <c r="B111" s="2" t="s">
        <v>4</v>
      </c>
      <c r="C111" s="2">
        <v>11</v>
      </c>
      <c r="D111" s="2">
        <v>8.3000000000000007</v>
      </c>
      <c r="E111" s="2">
        <v>4</v>
      </c>
      <c r="F111" s="2" t="str">
        <f t="shared" si="2"/>
        <v>8th</v>
      </c>
    </row>
    <row r="112" spans="1:6" x14ac:dyDescent="0.2">
      <c r="A112" s="2" t="s">
        <v>95</v>
      </c>
      <c r="B112" s="2" t="s">
        <v>4</v>
      </c>
      <c r="C112" s="2">
        <v>12</v>
      </c>
      <c r="D112" s="2">
        <v>8.3000000000000007</v>
      </c>
      <c r="E112" s="2">
        <v>4</v>
      </c>
      <c r="F112" s="2" t="str">
        <f t="shared" si="2"/>
        <v>8th</v>
      </c>
    </row>
    <row r="113" spans="1:6" x14ac:dyDescent="0.2">
      <c r="A113" s="2" t="s">
        <v>95</v>
      </c>
      <c r="B113" s="2" t="s">
        <v>4</v>
      </c>
      <c r="C113" s="2">
        <v>13</v>
      </c>
      <c r="D113" s="2">
        <v>8.3000000000000007</v>
      </c>
      <c r="E113" s="2">
        <v>4</v>
      </c>
      <c r="F113" s="2" t="str">
        <f t="shared" si="2"/>
        <v>8th</v>
      </c>
    </row>
    <row r="114" spans="1:6" x14ac:dyDescent="0.2">
      <c r="A114" s="2" t="s">
        <v>95</v>
      </c>
      <c r="B114" s="2" t="s">
        <v>4</v>
      </c>
      <c r="C114" s="2">
        <v>14</v>
      </c>
      <c r="D114" s="2">
        <v>8.3000000000000007</v>
      </c>
      <c r="E114" s="2">
        <v>4</v>
      </c>
      <c r="F114" s="2" t="str">
        <f t="shared" si="2"/>
        <v>8th</v>
      </c>
    </row>
    <row r="115" spans="1:6" x14ac:dyDescent="0.2">
      <c r="A115" s="2" t="s">
        <v>95</v>
      </c>
      <c r="B115" s="2" t="s">
        <v>4</v>
      </c>
      <c r="C115" s="2">
        <v>15</v>
      </c>
      <c r="D115" s="2">
        <v>8.3000000000000007</v>
      </c>
      <c r="E115" s="2">
        <v>4</v>
      </c>
      <c r="F115" s="2" t="str">
        <f t="shared" si="2"/>
        <v>8th</v>
      </c>
    </row>
    <row r="116" spans="1:6" x14ac:dyDescent="0.2">
      <c r="A116" s="2" t="s">
        <v>95</v>
      </c>
      <c r="B116" s="2" t="s">
        <v>4</v>
      </c>
      <c r="C116" s="2">
        <v>16</v>
      </c>
      <c r="D116" s="2">
        <v>8.3000000000000007</v>
      </c>
      <c r="E116" s="2">
        <v>4</v>
      </c>
      <c r="F116" s="2" t="str">
        <f t="shared" si="2"/>
        <v>8th</v>
      </c>
    </row>
    <row r="117" spans="1:6" x14ac:dyDescent="0.2">
      <c r="A117" s="2" t="s">
        <v>95</v>
      </c>
      <c r="B117" s="2" t="s">
        <v>4</v>
      </c>
      <c r="C117" s="2">
        <v>17</v>
      </c>
      <c r="D117" s="2">
        <v>8.3000000000000007</v>
      </c>
      <c r="E117" s="2">
        <v>4</v>
      </c>
      <c r="F117" s="2" t="str">
        <f t="shared" si="2"/>
        <v>8th</v>
      </c>
    </row>
    <row r="118" spans="1:6" x14ac:dyDescent="0.2">
      <c r="A118" s="2" t="s">
        <v>95</v>
      </c>
      <c r="B118" s="2" t="s">
        <v>4</v>
      </c>
      <c r="C118" s="2">
        <v>18</v>
      </c>
      <c r="D118" s="2">
        <v>8.3000000000000007</v>
      </c>
      <c r="E118" s="2">
        <v>4</v>
      </c>
      <c r="F118" s="2" t="str">
        <f t="shared" si="2"/>
        <v>8th</v>
      </c>
    </row>
    <row r="119" spans="1:6" x14ac:dyDescent="0.2">
      <c r="A119" s="2" t="s">
        <v>95</v>
      </c>
      <c r="B119" s="2" t="s">
        <v>4</v>
      </c>
      <c r="C119" s="2">
        <v>19</v>
      </c>
      <c r="D119" s="2">
        <v>13.7</v>
      </c>
      <c r="E119" s="2">
        <v>5</v>
      </c>
      <c r="F119" s="2" t="str">
        <f t="shared" si="2"/>
        <v>14th</v>
      </c>
    </row>
    <row r="120" spans="1:6" x14ac:dyDescent="0.2">
      <c r="A120" s="2" t="s">
        <v>95</v>
      </c>
      <c r="B120" s="2" t="s">
        <v>4</v>
      </c>
      <c r="C120" s="2">
        <v>20</v>
      </c>
      <c r="D120" s="2">
        <v>13.7</v>
      </c>
      <c r="E120" s="2">
        <v>5</v>
      </c>
      <c r="F120" s="2" t="str">
        <f t="shared" si="2"/>
        <v>14th</v>
      </c>
    </row>
    <row r="121" spans="1:6" x14ac:dyDescent="0.2">
      <c r="A121" s="2" t="s">
        <v>95</v>
      </c>
      <c r="B121" s="2" t="s">
        <v>4</v>
      </c>
      <c r="C121" s="2">
        <v>21</v>
      </c>
      <c r="D121" s="2">
        <v>13.7</v>
      </c>
      <c r="E121" s="2">
        <v>5</v>
      </c>
      <c r="F121" s="2" t="str">
        <f t="shared" si="2"/>
        <v>14th</v>
      </c>
    </row>
    <row r="122" spans="1:6" x14ac:dyDescent="0.2">
      <c r="A122" s="2" t="s">
        <v>95</v>
      </c>
      <c r="B122" s="2" t="s">
        <v>4</v>
      </c>
      <c r="C122" s="2">
        <v>22</v>
      </c>
      <c r="D122" s="2">
        <v>13.7</v>
      </c>
      <c r="E122" s="2">
        <v>5</v>
      </c>
      <c r="F122" s="2" t="str">
        <f t="shared" si="2"/>
        <v>14th</v>
      </c>
    </row>
    <row r="123" spans="1:6" x14ac:dyDescent="0.2">
      <c r="A123" s="2" t="s">
        <v>95</v>
      </c>
      <c r="B123" s="2" t="s">
        <v>4</v>
      </c>
      <c r="C123" s="2">
        <v>23</v>
      </c>
      <c r="D123" s="2">
        <v>22.6</v>
      </c>
      <c r="E123" s="2">
        <v>6</v>
      </c>
      <c r="F123" s="2" t="str">
        <f t="shared" si="2"/>
        <v>23rd</v>
      </c>
    </row>
    <row r="124" spans="1:6" x14ac:dyDescent="0.2">
      <c r="A124" s="2" t="s">
        <v>95</v>
      </c>
      <c r="B124" s="2" t="s">
        <v>4</v>
      </c>
      <c r="C124" s="2">
        <v>24</v>
      </c>
      <c r="D124" s="2">
        <v>22.6</v>
      </c>
      <c r="E124" s="2">
        <v>6</v>
      </c>
      <c r="F124" s="2" t="str">
        <f t="shared" si="2"/>
        <v>23rd</v>
      </c>
    </row>
    <row r="125" spans="1:6" x14ac:dyDescent="0.2">
      <c r="A125" s="2" t="s">
        <v>95</v>
      </c>
      <c r="B125" s="2" t="s">
        <v>4</v>
      </c>
      <c r="C125" s="2">
        <v>25</v>
      </c>
      <c r="D125" s="2">
        <v>22.6</v>
      </c>
      <c r="E125" s="2">
        <v>6</v>
      </c>
      <c r="F125" s="2" t="str">
        <f t="shared" si="2"/>
        <v>23rd</v>
      </c>
    </row>
    <row r="126" spans="1:6" x14ac:dyDescent="0.2">
      <c r="A126" s="2" t="s">
        <v>95</v>
      </c>
      <c r="B126" s="2" t="s">
        <v>4</v>
      </c>
      <c r="C126" s="2">
        <v>26</v>
      </c>
      <c r="D126" s="2">
        <v>34</v>
      </c>
      <c r="E126" s="2">
        <v>7</v>
      </c>
      <c r="F126" s="2" t="str">
        <f t="shared" si="2"/>
        <v>34th</v>
      </c>
    </row>
    <row r="127" spans="1:6" x14ac:dyDescent="0.2">
      <c r="A127" s="2" t="s">
        <v>95</v>
      </c>
      <c r="B127" s="2" t="s">
        <v>4</v>
      </c>
      <c r="C127" s="2">
        <v>27</v>
      </c>
      <c r="D127" s="2">
        <v>34</v>
      </c>
      <c r="E127" s="2">
        <v>7</v>
      </c>
      <c r="F127" s="2" t="str">
        <f t="shared" si="2"/>
        <v>34th</v>
      </c>
    </row>
    <row r="128" spans="1:6" x14ac:dyDescent="0.2">
      <c r="A128" s="2" t="s">
        <v>95</v>
      </c>
      <c r="B128" s="2" t="s">
        <v>4</v>
      </c>
      <c r="C128" s="2">
        <v>28</v>
      </c>
      <c r="D128" s="2">
        <v>45.4</v>
      </c>
      <c r="E128" s="2">
        <v>8</v>
      </c>
      <c r="F128" s="2" t="str">
        <f t="shared" si="2"/>
        <v>45th</v>
      </c>
    </row>
    <row r="129" spans="1:6" x14ac:dyDescent="0.2">
      <c r="A129" s="2" t="s">
        <v>95</v>
      </c>
      <c r="B129" s="2" t="s">
        <v>4</v>
      </c>
      <c r="C129" s="2">
        <v>29</v>
      </c>
      <c r="D129" s="2">
        <v>45.4</v>
      </c>
      <c r="E129" s="2">
        <v>8</v>
      </c>
      <c r="F129" s="2" t="str">
        <f t="shared" si="2"/>
        <v>45th</v>
      </c>
    </row>
    <row r="130" spans="1:6" x14ac:dyDescent="0.2">
      <c r="A130" s="2" t="s">
        <v>95</v>
      </c>
      <c r="B130" s="2" t="s">
        <v>4</v>
      </c>
      <c r="C130" s="2">
        <v>30</v>
      </c>
      <c r="D130" s="2">
        <v>60.8</v>
      </c>
      <c r="E130" s="2">
        <v>9</v>
      </c>
      <c r="F130" s="2" t="str">
        <f t="shared" si="2"/>
        <v>61st</v>
      </c>
    </row>
    <row r="131" spans="1:6" x14ac:dyDescent="0.2">
      <c r="A131" s="2" t="s">
        <v>95</v>
      </c>
      <c r="B131" s="2" t="s">
        <v>4</v>
      </c>
      <c r="C131" s="2">
        <v>31</v>
      </c>
      <c r="D131" s="2">
        <v>60.8</v>
      </c>
      <c r="E131" s="2">
        <v>9</v>
      </c>
      <c r="F131" s="2" t="str">
        <f t="shared" si="2"/>
        <v>61st</v>
      </c>
    </row>
    <row r="132" spans="1:6" x14ac:dyDescent="0.2">
      <c r="A132" s="2" t="s">
        <v>95</v>
      </c>
      <c r="B132" s="2" t="s">
        <v>4</v>
      </c>
      <c r="C132" s="2">
        <v>32</v>
      </c>
      <c r="D132" s="2">
        <v>76.8</v>
      </c>
      <c r="E132" s="2">
        <v>10</v>
      </c>
      <c r="F132" s="2" t="str">
        <f t="shared" si="2"/>
        <v>77th</v>
      </c>
    </row>
    <row r="133" spans="1:6" x14ac:dyDescent="0.2">
      <c r="A133" s="2" t="s">
        <v>95</v>
      </c>
      <c r="B133" s="2" t="s">
        <v>4</v>
      </c>
      <c r="C133" s="2">
        <v>33</v>
      </c>
      <c r="D133" s="2">
        <v>76.8</v>
      </c>
      <c r="E133" s="2">
        <v>10</v>
      </c>
      <c r="F133" s="2" t="str">
        <f t="shared" si="2"/>
        <v>77th</v>
      </c>
    </row>
    <row r="134" spans="1:6" x14ac:dyDescent="0.2">
      <c r="A134" s="2" t="s">
        <v>95</v>
      </c>
      <c r="B134" s="2" t="s">
        <v>4</v>
      </c>
      <c r="C134" s="2">
        <v>34</v>
      </c>
      <c r="D134" s="2">
        <v>90.3</v>
      </c>
      <c r="E134" s="2">
        <v>11</v>
      </c>
      <c r="F134" s="2" t="str">
        <f t="shared" si="2"/>
        <v>90th</v>
      </c>
    </row>
    <row r="135" spans="1:6" x14ac:dyDescent="0.2">
      <c r="A135" s="2" t="s">
        <v>95</v>
      </c>
      <c r="B135" s="2" t="s">
        <v>4</v>
      </c>
      <c r="C135" s="2">
        <v>35</v>
      </c>
      <c r="D135" s="2">
        <v>90.3</v>
      </c>
      <c r="E135" s="2">
        <v>11</v>
      </c>
      <c r="F135" s="2" t="str">
        <f t="shared" si="2"/>
        <v>90th</v>
      </c>
    </row>
    <row r="136" spans="1:6" x14ac:dyDescent="0.2">
      <c r="A136" s="2" t="s">
        <v>95</v>
      </c>
      <c r="B136" s="2" t="s">
        <v>4</v>
      </c>
      <c r="C136" s="2">
        <v>36</v>
      </c>
      <c r="D136" s="2">
        <v>96.7</v>
      </c>
      <c r="E136" s="2">
        <v>12</v>
      </c>
      <c r="F136" s="2" t="str">
        <f t="shared" si="2"/>
        <v>97th</v>
      </c>
    </row>
    <row r="137" spans="1:6" x14ac:dyDescent="0.2">
      <c r="A137" s="2" t="s">
        <v>95</v>
      </c>
      <c r="B137" s="2" t="s">
        <v>4</v>
      </c>
      <c r="C137" s="2">
        <v>37</v>
      </c>
      <c r="D137" s="2">
        <v>96.7</v>
      </c>
      <c r="E137" s="2">
        <v>12</v>
      </c>
      <c r="F137" s="2" t="str">
        <f t="shared" si="2"/>
        <v>97th</v>
      </c>
    </row>
    <row r="138" spans="1:6" x14ac:dyDescent="0.2">
      <c r="A138" s="2" t="s">
        <v>95</v>
      </c>
      <c r="B138" s="2" t="s">
        <v>4</v>
      </c>
      <c r="C138" s="2">
        <v>38</v>
      </c>
      <c r="D138" s="2">
        <v>98.9</v>
      </c>
      <c r="E138" s="2">
        <v>13</v>
      </c>
      <c r="F138" s="2" t="str">
        <f t="shared" si="2"/>
        <v>99th</v>
      </c>
    </row>
    <row r="139" spans="1:6" x14ac:dyDescent="0.2">
      <c r="A139" s="2" t="s">
        <v>95</v>
      </c>
      <c r="B139" s="2" t="s">
        <v>4</v>
      </c>
      <c r="C139" s="2">
        <v>39</v>
      </c>
      <c r="D139" s="2">
        <v>99.8</v>
      </c>
      <c r="E139" s="2">
        <v>14</v>
      </c>
      <c r="F139" s="2" t="str">
        <f t="shared" si="2"/>
        <v>100th</v>
      </c>
    </row>
    <row r="140" spans="1:6" x14ac:dyDescent="0.2">
      <c r="A140" s="2" t="s">
        <v>95</v>
      </c>
      <c r="B140" s="2" t="s">
        <v>4</v>
      </c>
      <c r="C140" s="2">
        <v>40</v>
      </c>
      <c r="D140" s="2">
        <v>99.9</v>
      </c>
      <c r="E140" s="2">
        <v>15</v>
      </c>
      <c r="F140" s="2" t="str">
        <f t="shared" si="2"/>
        <v>100th</v>
      </c>
    </row>
    <row r="141" spans="1:6" x14ac:dyDescent="0.2">
      <c r="A141" s="2" t="s">
        <v>95</v>
      </c>
      <c r="B141" s="2" t="s">
        <v>5</v>
      </c>
      <c r="C141" s="2">
        <v>0</v>
      </c>
      <c r="D141" s="2">
        <v>0.3</v>
      </c>
      <c r="E141" s="2">
        <v>1</v>
      </c>
      <c r="F141" s="2" t="str">
        <f t="shared" si="2"/>
        <v>0th</v>
      </c>
    </row>
    <row r="142" spans="1:6" x14ac:dyDescent="0.2">
      <c r="A142" s="2" t="s">
        <v>95</v>
      </c>
      <c r="B142" s="2" t="s">
        <v>5</v>
      </c>
      <c r="C142" s="2">
        <v>1</v>
      </c>
      <c r="D142" s="2">
        <v>0.3</v>
      </c>
      <c r="E142" s="2">
        <v>1</v>
      </c>
      <c r="F142" s="2" t="str">
        <f t="shared" si="2"/>
        <v>0th</v>
      </c>
    </row>
    <row r="143" spans="1:6" x14ac:dyDescent="0.2">
      <c r="A143" s="2" t="s">
        <v>95</v>
      </c>
      <c r="B143" s="2" t="s">
        <v>5</v>
      </c>
      <c r="C143" s="2">
        <v>2</v>
      </c>
      <c r="D143" s="2">
        <v>0.3</v>
      </c>
      <c r="E143" s="2">
        <v>1</v>
      </c>
      <c r="F143" s="2" t="str">
        <f t="shared" si="2"/>
        <v>0th</v>
      </c>
    </row>
    <row r="144" spans="1:6" x14ac:dyDescent="0.2">
      <c r="A144" s="2" t="s">
        <v>95</v>
      </c>
      <c r="B144" s="2" t="s">
        <v>5</v>
      </c>
      <c r="C144" s="2">
        <v>3</v>
      </c>
      <c r="D144" s="2">
        <v>0.3</v>
      </c>
      <c r="E144" s="2">
        <v>1</v>
      </c>
      <c r="F144" s="2" t="str">
        <f t="shared" si="2"/>
        <v>0th</v>
      </c>
    </row>
    <row r="145" spans="1:6" x14ac:dyDescent="0.2">
      <c r="A145" s="2" t="s">
        <v>95</v>
      </c>
      <c r="B145" s="2" t="s">
        <v>5</v>
      </c>
      <c r="C145" s="2">
        <v>4</v>
      </c>
      <c r="D145" s="2">
        <v>0.3</v>
      </c>
      <c r="E145" s="2">
        <v>1</v>
      </c>
      <c r="F145" s="2" t="str">
        <f t="shared" si="2"/>
        <v>0th</v>
      </c>
    </row>
    <row r="146" spans="1:6" x14ac:dyDescent="0.2">
      <c r="A146" s="2" t="s">
        <v>95</v>
      </c>
      <c r="B146" s="2" t="s">
        <v>5</v>
      </c>
      <c r="C146" s="2">
        <v>5</v>
      </c>
      <c r="D146" s="2">
        <v>0.3</v>
      </c>
      <c r="E146" s="2">
        <v>1</v>
      </c>
      <c r="F146" s="2" t="str">
        <f t="shared" ref="F146:F193" si="3">IF(RIGHT(ROUND(D146,0),2)="13",ROUND(D146,0)&amp;"th",IF(RIGHT(ROUND(D146,0),2)="12",ROUND(D146,0)&amp;"th",IF(RIGHT(ROUND(D146,0),2)="11",ROUND(D146,0)&amp;"th",IF(RIGHT(ROUND(D146,0),1)="1",ROUND(D146,0)&amp;"st",IF(RIGHT(ROUND(D146,0),1)="2",ROUND(D146,0)&amp;"nd",IF(RIGHT(ROUND(D146,0),1)="3",ROUND(D146,0)&amp;"rd",ROUND(D146,0)&amp;"th"))))))</f>
        <v>0th</v>
      </c>
    </row>
    <row r="147" spans="1:6" x14ac:dyDescent="0.2">
      <c r="A147" s="2" t="s">
        <v>95</v>
      </c>
      <c r="B147" s="2" t="s">
        <v>5</v>
      </c>
      <c r="C147" s="2">
        <v>6</v>
      </c>
      <c r="D147" s="2">
        <v>0.3</v>
      </c>
      <c r="E147" s="2">
        <v>1</v>
      </c>
      <c r="F147" s="2" t="str">
        <f t="shared" si="3"/>
        <v>0th</v>
      </c>
    </row>
    <row r="148" spans="1:6" x14ac:dyDescent="0.2">
      <c r="A148" s="2" t="s">
        <v>95</v>
      </c>
      <c r="B148" s="2" t="s">
        <v>5</v>
      </c>
      <c r="C148" s="2">
        <v>7</v>
      </c>
      <c r="D148" s="2">
        <v>0.3</v>
      </c>
      <c r="E148" s="2">
        <v>1</v>
      </c>
      <c r="F148" s="2" t="str">
        <f t="shared" si="3"/>
        <v>0th</v>
      </c>
    </row>
    <row r="149" spans="1:6" x14ac:dyDescent="0.2">
      <c r="A149" s="2" t="s">
        <v>95</v>
      </c>
      <c r="B149" s="2" t="s">
        <v>5</v>
      </c>
      <c r="C149" s="2">
        <v>8</v>
      </c>
      <c r="D149" s="2">
        <v>0.3</v>
      </c>
      <c r="E149" s="2">
        <v>1</v>
      </c>
      <c r="F149" s="2" t="str">
        <f t="shared" si="3"/>
        <v>0th</v>
      </c>
    </row>
    <row r="150" spans="1:6" x14ac:dyDescent="0.2">
      <c r="A150" s="2" t="s">
        <v>95</v>
      </c>
      <c r="B150" s="2" t="s">
        <v>5</v>
      </c>
      <c r="C150" s="2">
        <v>9</v>
      </c>
      <c r="D150" s="2">
        <v>0.3</v>
      </c>
      <c r="E150" s="2">
        <v>1</v>
      </c>
      <c r="F150" s="2" t="str">
        <f t="shared" si="3"/>
        <v>0th</v>
      </c>
    </row>
    <row r="151" spans="1:6" x14ac:dyDescent="0.2">
      <c r="A151" s="2" t="s">
        <v>95</v>
      </c>
      <c r="B151" s="2" t="s">
        <v>5</v>
      </c>
      <c r="C151" s="2">
        <v>10</v>
      </c>
      <c r="D151" s="2">
        <v>0.3</v>
      </c>
      <c r="E151" s="2">
        <v>1</v>
      </c>
      <c r="F151" s="2" t="str">
        <f t="shared" si="3"/>
        <v>0th</v>
      </c>
    </row>
    <row r="152" spans="1:6" x14ac:dyDescent="0.2">
      <c r="A152" s="2" t="s">
        <v>95</v>
      </c>
      <c r="B152" s="2" t="s">
        <v>5</v>
      </c>
      <c r="C152" s="2">
        <v>11</v>
      </c>
      <c r="D152" s="2">
        <v>1.1000000000000001</v>
      </c>
      <c r="E152" s="2">
        <v>2</v>
      </c>
      <c r="F152" s="2" t="str">
        <f t="shared" si="3"/>
        <v>1st</v>
      </c>
    </row>
    <row r="153" spans="1:6" x14ac:dyDescent="0.2">
      <c r="A153" s="2" t="s">
        <v>95</v>
      </c>
      <c r="B153" s="2" t="s">
        <v>5</v>
      </c>
      <c r="C153" s="2">
        <v>12</v>
      </c>
      <c r="D153" s="2">
        <v>1.1000000000000001</v>
      </c>
      <c r="E153" s="2">
        <v>2</v>
      </c>
      <c r="F153" s="2" t="str">
        <f t="shared" si="3"/>
        <v>1st</v>
      </c>
    </row>
    <row r="154" spans="1:6" x14ac:dyDescent="0.2">
      <c r="A154" s="2" t="s">
        <v>95</v>
      </c>
      <c r="B154" s="2" t="s">
        <v>5</v>
      </c>
      <c r="C154" s="2">
        <v>13</v>
      </c>
      <c r="D154" s="2">
        <v>1.1000000000000001</v>
      </c>
      <c r="E154" s="2">
        <v>2</v>
      </c>
      <c r="F154" s="2" t="str">
        <f t="shared" si="3"/>
        <v>1st</v>
      </c>
    </row>
    <row r="155" spans="1:6" x14ac:dyDescent="0.2">
      <c r="A155" s="2" t="s">
        <v>95</v>
      </c>
      <c r="B155" s="2" t="s">
        <v>5</v>
      </c>
      <c r="C155" s="2">
        <v>14</v>
      </c>
      <c r="D155" s="2">
        <v>1.1000000000000001</v>
      </c>
      <c r="E155" s="2">
        <v>2</v>
      </c>
      <c r="F155" s="2" t="str">
        <f t="shared" si="3"/>
        <v>1st</v>
      </c>
    </row>
    <row r="156" spans="1:6" x14ac:dyDescent="0.2">
      <c r="A156" s="2" t="s">
        <v>95</v>
      </c>
      <c r="B156" s="2" t="s">
        <v>5</v>
      </c>
      <c r="C156" s="2">
        <v>15</v>
      </c>
      <c r="D156" s="2">
        <v>2.4</v>
      </c>
      <c r="E156" s="2">
        <v>3</v>
      </c>
      <c r="F156" s="2" t="str">
        <f t="shared" si="3"/>
        <v>2nd</v>
      </c>
    </row>
    <row r="157" spans="1:6" x14ac:dyDescent="0.2">
      <c r="A157" s="2" t="s">
        <v>95</v>
      </c>
      <c r="B157" s="2" t="s">
        <v>5</v>
      </c>
      <c r="C157" s="2">
        <v>16</v>
      </c>
      <c r="D157" s="2">
        <v>2.4</v>
      </c>
      <c r="E157" s="2">
        <v>3</v>
      </c>
      <c r="F157" s="2" t="str">
        <f t="shared" si="3"/>
        <v>2nd</v>
      </c>
    </row>
    <row r="158" spans="1:6" x14ac:dyDescent="0.2">
      <c r="A158" s="2" t="s">
        <v>95</v>
      </c>
      <c r="B158" s="2" t="s">
        <v>5</v>
      </c>
      <c r="C158" s="2">
        <v>17</v>
      </c>
      <c r="D158" s="2">
        <v>2.4</v>
      </c>
      <c r="E158" s="2">
        <v>3</v>
      </c>
      <c r="F158" s="2" t="str">
        <f t="shared" si="3"/>
        <v>2nd</v>
      </c>
    </row>
    <row r="159" spans="1:6" x14ac:dyDescent="0.2">
      <c r="A159" s="2" t="s">
        <v>95</v>
      </c>
      <c r="B159" s="2" t="s">
        <v>5</v>
      </c>
      <c r="C159" s="2">
        <v>18</v>
      </c>
      <c r="D159" s="2">
        <v>4.9000000000000004</v>
      </c>
      <c r="E159" s="2">
        <v>4</v>
      </c>
      <c r="F159" s="2" t="str">
        <f t="shared" si="3"/>
        <v>5th</v>
      </c>
    </row>
    <row r="160" spans="1:6" x14ac:dyDescent="0.2">
      <c r="A160" s="2" t="s">
        <v>95</v>
      </c>
      <c r="B160" s="2" t="s">
        <v>5</v>
      </c>
      <c r="C160" s="2">
        <v>19</v>
      </c>
      <c r="D160" s="2">
        <v>4.9000000000000004</v>
      </c>
      <c r="E160" s="2">
        <v>4</v>
      </c>
      <c r="F160" s="2" t="str">
        <f t="shared" si="3"/>
        <v>5th</v>
      </c>
    </row>
    <row r="161" spans="1:6" x14ac:dyDescent="0.2">
      <c r="A161" s="2" t="s">
        <v>95</v>
      </c>
      <c r="B161" s="2" t="s">
        <v>5</v>
      </c>
      <c r="C161" s="2">
        <v>20</v>
      </c>
      <c r="D161" s="2">
        <v>4.9000000000000004</v>
      </c>
      <c r="E161" s="2">
        <v>4</v>
      </c>
      <c r="F161" s="2" t="str">
        <f t="shared" si="3"/>
        <v>5th</v>
      </c>
    </row>
    <row r="162" spans="1:6" x14ac:dyDescent="0.2">
      <c r="A162" s="2" t="s">
        <v>95</v>
      </c>
      <c r="B162" s="2" t="s">
        <v>5</v>
      </c>
      <c r="C162" s="2">
        <v>21</v>
      </c>
      <c r="D162" s="2">
        <v>8.5</v>
      </c>
      <c r="E162" s="2">
        <v>5</v>
      </c>
      <c r="F162" s="2" t="str">
        <f t="shared" si="3"/>
        <v>9th</v>
      </c>
    </row>
    <row r="163" spans="1:6" x14ac:dyDescent="0.2">
      <c r="A163" s="2" t="s">
        <v>95</v>
      </c>
      <c r="B163" s="2" t="s">
        <v>5</v>
      </c>
      <c r="C163" s="2">
        <v>22</v>
      </c>
      <c r="D163" s="2">
        <v>8.5</v>
      </c>
      <c r="E163" s="2">
        <v>5</v>
      </c>
      <c r="F163" s="2" t="str">
        <f t="shared" si="3"/>
        <v>9th</v>
      </c>
    </row>
    <row r="164" spans="1:6" x14ac:dyDescent="0.2">
      <c r="A164" s="2" t="s">
        <v>95</v>
      </c>
      <c r="B164" s="2" t="s">
        <v>5</v>
      </c>
      <c r="C164" s="2">
        <v>23</v>
      </c>
      <c r="D164" s="2">
        <v>8.5</v>
      </c>
      <c r="E164" s="2">
        <v>5</v>
      </c>
      <c r="F164" s="2" t="str">
        <f t="shared" si="3"/>
        <v>9th</v>
      </c>
    </row>
    <row r="165" spans="1:6" x14ac:dyDescent="0.2">
      <c r="A165" s="2" t="s">
        <v>95</v>
      </c>
      <c r="B165" s="2" t="s">
        <v>5</v>
      </c>
      <c r="C165" s="2">
        <v>24</v>
      </c>
      <c r="D165" s="2">
        <v>14.1</v>
      </c>
      <c r="E165" s="2">
        <v>6</v>
      </c>
      <c r="F165" s="2" t="str">
        <f t="shared" si="3"/>
        <v>14th</v>
      </c>
    </row>
    <row r="166" spans="1:6" x14ac:dyDescent="0.2">
      <c r="A166" s="2" t="s">
        <v>95</v>
      </c>
      <c r="B166" s="2" t="s">
        <v>5</v>
      </c>
      <c r="C166" s="2">
        <v>25</v>
      </c>
      <c r="D166" s="2">
        <v>14.1</v>
      </c>
      <c r="E166" s="2">
        <v>6</v>
      </c>
      <c r="F166" s="2" t="str">
        <f t="shared" si="3"/>
        <v>14th</v>
      </c>
    </row>
    <row r="167" spans="1:6" x14ac:dyDescent="0.2">
      <c r="A167" s="2" t="s">
        <v>95</v>
      </c>
      <c r="B167" s="2" t="s">
        <v>5</v>
      </c>
      <c r="C167" s="2">
        <v>26</v>
      </c>
      <c r="D167" s="2">
        <v>14.1</v>
      </c>
      <c r="E167" s="2">
        <v>6</v>
      </c>
      <c r="F167" s="2" t="str">
        <f t="shared" si="3"/>
        <v>14th</v>
      </c>
    </row>
    <row r="168" spans="1:6" x14ac:dyDescent="0.2">
      <c r="A168" s="2" t="s">
        <v>95</v>
      </c>
      <c r="B168" s="2" t="s">
        <v>5</v>
      </c>
      <c r="C168" s="2">
        <v>27</v>
      </c>
      <c r="D168" s="2">
        <v>21.6</v>
      </c>
      <c r="E168" s="2">
        <v>7</v>
      </c>
      <c r="F168" s="2" t="str">
        <f t="shared" si="3"/>
        <v>22nd</v>
      </c>
    </row>
    <row r="169" spans="1:6" x14ac:dyDescent="0.2">
      <c r="A169" s="2" t="s">
        <v>95</v>
      </c>
      <c r="B169" s="2" t="s">
        <v>5</v>
      </c>
      <c r="C169" s="2">
        <v>28</v>
      </c>
      <c r="D169" s="2">
        <v>21.6</v>
      </c>
      <c r="E169" s="2">
        <v>7</v>
      </c>
      <c r="F169" s="2" t="str">
        <f t="shared" si="3"/>
        <v>22nd</v>
      </c>
    </row>
    <row r="170" spans="1:6" x14ac:dyDescent="0.2">
      <c r="A170" s="2" t="s">
        <v>95</v>
      </c>
      <c r="B170" s="2" t="s">
        <v>5</v>
      </c>
      <c r="C170" s="2">
        <v>29</v>
      </c>
      <c r="D170" s="2">
        <v>21.6</v>
      </c>
      <c r="E170" s="2">
        <v>7</v>
      </c>
      <c r="F170" s="2" t="str">
        <f t="shared" si="3"/>
        <v>22nd</v>
      </c>
    </row>
    <row r="171" spans="1:6" x14ac:dyDescent="0.2">
      <c r="A171" s="2" t="s">
        <v>95</v>
      </c>
      <c r="B171" s="2" t="s">
        <v>5</v>
      </c>
      <c r="C171" s="2">
        <v>30</v>
      </c>
      <c r="D171" s="2">
        <v>33.200000000000003</v>
      </c>
      <c r="E171" s="2">
        <v>8</v>
      </c>
      <c r="F171" s="2" t="str">
        <f t="shared" si="3"/>
        <v>33rd</v>
      </c>
    </row>
    <row r="172" spans="1:6" x14ac:dyDescent="0.2">
      <c r="A172" s="2" t="s">
        <v>95</v>
      </c>
      <c r="B172" s="2" t="s">
        <v>5</v>
      </c>
      <c r="C172" s="2">
        <v>31</v>
      </c>
      <c r="D172" s="2">
        <v>33.200000000000003</v>
      </c>
      <c r="E172" s="2">
        <v>8</v>
      </c>
      <c r="F172" s="2" t="str">
        <f t="shared" si="3"/>
        <v>33rd</v>
      </c>
    </row>
    <row r="173" spans="1:6" x14ac:dyDescent="0.2">
      <c r="A173" s="2" t="s">
        <v>95</v>
      </c>
      <c r="B173" s="2" t="s">
        <v>5</v>
      </c>
      <c r="C173" s="2">
        <v>32</v>
      </c>
      <c r="D173" s="2">
        <v>33.200000000000003</v>
      </c>
      <c r="E173" s="2">
        <v>8</v>
      </c>
      <c r="F173" s="2" t="str">
        <f t="shared" si="3"/>
        <v>33rd</v>
      </c>
    </row>
    <row r="174" spans="1:6" x14ac:dyDescent="0.2">
      <c r="A174" s="2" t="s">
        <v>95</v>
      </c>
      <c r="B174" s="2" t="s">
        <v>5</v>
      </c>
      <c r="C174" s="2">
        <v>33</v>
      </c>
      <c r="D174" s="2">
        <v>49.3</v>
      </c>
      <c r="E174" s="2">
        <v>9</v>
      </c>
      <c r="F174" s="2" t="str">
        <f t="shared" si="3"/>
        <v>49th</v>
      </c>
    </row>
    <row r="175" spans="1:6" x14ac:dyDescent="0.2">
      <c r="A175" s="2" t="s">
        <v>95</v>
      </c>
      <c r="B175" s="2" t="s">
        <v>5</v>
      </c>
      <c r="C175" s="2">
        <v>34</v>
      </c>
      <c r="D175" s="2">
        <v>49.3</v>
      </c>
      <c r="E175" s="2">
        <v>9</v>
      </c>
      <c r="F175" s="2" t="str">
        <f t="shared" si="3"/>
        <v>49th</v>
      </c>
    </row>
    <row r="176" spans="1:6" x14ac:dyDescent="0.2">
      <c r="A176" s="2" t="s">
        <v>95</v>
      </c>
      <c r="B176" s="2" t="s">
        <v>5</v>
      </c>
      <c r="C176" s="2">
        <v>35</v>
      </c>
      <c r="D176" s="2">
        <v>49.3</v>
      </c>
      <c r="E176" s="2">
        <v>9</v>
      </c>
      <c r="F176" s="2" t="str">
        <f t="shared" si="3"/>
        <v>49th</v>
      </c>
    </row>
    <row r="177" spans="1:6" x14ac:dyDescent="0.2">
      <c r="A177" s="2" t="s">
        <v>95</v>
      </c>
      <c r="B177" s="2" t="s">
        <v>5</v>
      </c>
      <c r="C177" s="2">
        <v>36</v>
      </c>
      <c r="D177" s="2">
        <v>66.8</v>
      </c>
      <c r="E177" s="2">
        <v>10</v>
      </c>
      <c r="F177" s="2" t="str">
        <f t="shared" si="3"/>
        <v>67th</v>
      </c>
    </row>
    <row r="178" spans="1:6" x14ac:dyDescent="0.2">
      <c r="A178" s="2" t="s">
        <v>95</v>
      </c>
      <c r="B178" s="2" t="s">
        <v>5</v>
      </c>
      <c r="C178" s="2">
        <v>37</v>
      </c>
      <c r="D178" s="2">
        <v>66.8</v>
      </c>
      <c r="E178" s="2">
        <v>10</v>
      </c>
      <c r="F178" s="2" t="str">
        <f t="shared" si="3"/>
        <v>67th</v>
      </c>
    </row>
    <row r="179" spans="1:6" x14ac:dyDescent="0.2">
      <c r="A179" s="2" t="s">
        <v>95</v>
      </c>
      <c r="B179" s="2" t="s">
        <v>5</v>
      </c>
      <c r="C179" s="2">
        <v>38</v>
      </c>
      <c r="D179" s="2">
        <v>66.8</v>
      </c>
      <c r="E179" s="2">
        <v>10</v>
      </c>
      <c r="F179" s="2" t="str">
        <f t="shared" si="3"/>
        <v>67th</v>
      </c>
    </row>
    <row r="180" spans="1:6" x14ac:dyDescent="0.2">
      <c r="A180" s="2" t="s">
        <v>95</v>
      </c>
      <c r="B180" s="2" t="s">
        <v>5</v>
      </c>
      <c r="C180" s="2">
        <v>39</v>
      </c>
      <c r="D180" s="2">
        <v>81.900000000000006</v>
      </c>
      <c r="E180" s="2">
        <v>11</v>
      </c>
      <c r="F180" s="2" t="str">
        <f t="shared" si="3"/>
        <v>82nd</v>
      </c>
    </row>
    <row r="181" spans="1:6" x14ac:dyDescent="0.2">
      <c r="A181" s="2" t="s">
        <v>95</v>
      </c>
      <c r="B181" s="2" t="s">
        <v>5</v>
      </c>
      <c r="C181" s="2">
        <v>40</v>
      </c>
      <c r="D181" s="2">
        <v>81.900000000000006</v>
      </c>
      <c r="E181" s="2">
        <v>11</v>
      </c>
      <c r="F181" s="2" t="str">
        <f t="shared" si="3"/>
        <v>82nd</v>
      </c>
    </row>
    <row r="182" spans="1:6" x14ac:dyDescent="0.2">
      <c r="A182" s="2" t="s">
        <v>95</v>
      </c>
      <c r="B182" s="2" t="s">
        <v>5</v>
      </c>
      <c r="C182" s="2">
        <v>41</v>
      </c>
      <c r="D182" s="2">
        <v>81.900000000000006</v>
      </c>
      <c r="E182" s="2">
        <v>11</v>
      </c>
      <c r="F182" s="2" t="str">
        <f t="shared" si="3"/>
        <v>82nd</v>
      </c>
    </row>
    <row r="183" spans="1:6" x14ac:dyDescent="0.2">
      <c r="A183" s="2" t="s">
        <v>95</v>
      </c>
      <c r="B183" s="2" t="s">
        <v>5</v>
      </c>
      <c r="C183" s="2">
        <v>42</v>
      </c>
      <c r="D183" s="2">
        <v>91.4</v>
      </c>
      <c r="E183" s="2">
        <v>12</v>
      </c>
      <c r="F183" s="2" t="str">
        <f t="shared" si="3"/>
        <v>91st</v>
      </c>
    </row>
    <row r="184" spans="1:6" x14ac:dyDescent="0.2">
      <c r="A184" s="2" t="s">
        <v>95</v>
      </c>
      <c r="B184" s="2" t="s">
        <v>5</v>
      </c>
      <c r="C184" s="2">
        <v>43</v>
      </c>
      <c r="D184" s="2">
        <v>91.4</v>
      </c>
      <c r="E184" s="2">
        <v>12</v>
      </c>
      <c r="F184" s="2" t="str">
        <f t="shared" si="3"/>
        <v>91st</v>
      </c>
    </row>
    <row r="185" spans="1:6" x14ac:dyDescent="0.2">
      <c r="A185" s="2" t="s">
        <v>95</v>
      </c>
      <c r="B185" s="2" t="s">
        <v>5</v>
      </c>
      <c r="C185" s="2">
        <v>44</v>
      </c>
      <c r="D185" s="2">
        <v>91.4</v>
      </c>
      <c r="E185" s="2">
        <v>12</v>
      </c>
      <c r="F185" s="2" t="str">
        <f t="shared" si="3"/>
        <v>91st</v>
      </c>
    </row>
    <row r="186" spans="1:6" x14ac:dyDescent="0.2">
      <c r="A186" s="2" t="s">
        <v>95</v>
      </c>
      <c r="B186" s="2" t="s">
        <v>5</v>
      </c>
      <c r="C186" s="2">
        <v>45</v>
      </c>
      <c r="D186" s="2">
        <v>96.5</v>
      </c>
      <c r="E186" s="2">
        <v>13</v>
      </c>
      <c r="F186" s="2" t="str">
        <f t="shared" si="3"/>
        <v>97th</v>
      </c>
    </row>
    <row r="187" spans="1:6" x14ac:dyDescent="0.2">
      <c r="A187" s="2" t="s">
        <v>95</v>
      </c>
      <c r="B187" s="2" t="s">
        <v>5</v>
      </c>
      <c r="C187" s="2">
        <v>46</v>
      </c>
      <c r="D187" s="2">
        <v>96.5</v>
      </c>
      <c r="E187" s="2">
        <v>13</v>
      </c>
      <c r="F187" s="2" t="str">
        <f t="shared" si="3"/>
        <v>97th</v>
      </c>
    </row>
    <row r="188" spans="1:6" x14ac:dyDescent="0.2">
      <c r="A188" s="2" t="s">
        <v>95</v>
      </c>
      <c r="B188" s="2" t="s">
        <v>5</v>
      </c>
      <c r="C188" s="2">
        <v>47</v>
      </c>
      <c r="D188" s="2">
        <v>96.5</v>
      </c>
      <c r="E188" s="2">
        <v>13</v>
      </c>
      <c r="F188" s="2" t="str">
        <f t="shared" si="3"/>
        <v>97th</v>
      </c>
    </row>
    <row r="189" spans="1:6" x14ac:dyDescent="0.2">
      <c r="A189" s="2" t="s">
        <v>95</v>
      </c>
      <c r="B189" s="2" t="s">
        <v>5</v>
      </c>
      <c r="C189" s="2">
        <v>48</v>
      </c>
      <c r="D189" s="2">
        <v>96.5</v>
      </c>
      <c r="E189" s="2">
        <v>13</v>
      </c>
      <c r="F189" s="2" t="str">
        <f t="shared" si="3"/>
        <v>97th</v>
      </c>
    </row>
    <row r="190" spans="1:6" x14ac:dyDescent="0.2">
      <c r="A190" s="2" t="s">
        <v>95</v>
      </c>
      <c r="B190" s="2" t="s">
        <v>5</v>
      </c>
      <c r="C190" s="2">
        <v>49</v>
      </c>
      <c r="D190" s="2">
        <v>99</v>
      </c>
      <c r="E190" s="2">
        <v>14</v>
      </c>
      <c r="F190" s="2" t="str">
        <f t="shared" si="3"/>
        <v>99th</v>
      </c>
    </row>
    <row r="191" spans="1:6" x14ac:dyDescent="0.2">
      <c r="A191" s="2" t="s">
        <v>95</v>
      </c>
      <c r="B191" s="2" t="s">
        <v>5</v>
      </c>
      <c r="C191" s="2">
        <v>50</v>
      </c>
      <c r="D191" s="2">
        <v>99</v>
      </c>
      <c r="E191" s="2">
        <v>14</v>
      </c>
      <c r="F191" s="2" t="str">
        <f t="shared" si="3"/>
        <v>99th</v>
      </c>
    </row>
    <row r="192" spans="1:6" x14ac:dyDescent="0.2">
      <c r="A192" s="2" t="s">
        <v>95</v>
      </c>
      <c r="B192" s="2" t="s">
        <v>5</v>
      </c>
      <c r="C192" s="2">
        <v>51</v>
      </c>
      <c r="D192" s="2">
        <v>99.9</v>
      </c>
      <c r="E192" s="2">
        <v>15</v>
      </c>
      <c r="F192" s="2" t="str">
        <f t="shared" si="3"/>
        <v>100th</v>
      </c>
    </row>
    <row r="193" spans="1:6" x14ac:dyDescent="0.2">
      <c r="A193" s="2" t="s">
        <v>95</v>
      </c>
      <c r="B193" s="2" t="s">
        <v>5</v>
      </c>
      <c r="C193" s="2">
        <v>52</v>
      </c>
      <c r="D193" s="2">
        <v>99.9</v>
      </c>
      <c r="E193" s="2">
        <v>15</v>
      </c>
      <c r="F193" s="2" t="str">
        <f t="shared" si="3"/>
        <v>100th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A5" sqref="A5"/>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81</v>
      </c>
      <c r="B1" s="14" t="s">
        <v>74</v>
      </c>
      <c r="C1" s="14" t="s">
        <v>82</v>
      </c>
      <c r="D1" s="14" t="s">
        <v>75</v>
      </c>
      <c r="E1" s="14" t="s">
        <v>84</v>
      </c>
      <c r="F1" s="14" t="s">
        <v>78</v>
      </c>
      <c r="G1" s="14" t="s">
        <v>85</v>
      </c>
      <c r="H1" s="14" t="s">
        <v>77</v>
      </c>
      <c r="I1" s="14" t="s">
        <v>86</v>
      </c>
      <c r="J1" s="14" t="s">
        <v>76</v>
      </c>
      <c r="K1" s="14" t="s">
        <v>87</v>
      </c>
      <c r="L1" s="14" t="s">
        <v>80</v>
      </c>
      <c r="M1" s="14" t="s">
        <v>83</v>
      </c>
      <c r="N1" s="14" t="s">
        <v>79</v>
      </c>
      <c r="O1" s="14" t="s">
        <v>104</v>
      </c>
      <c r="P1" s="14" t="s">
        <v>106</v>
      </c>
    </row>
    <row r="2" spans="1:16" ht="113.25" x14ac:dyDescent="0.25">
      <c r="A2" s="1" t="s">
        <v>95</v>
      </c>
      <c r="B2" s="1" t="s">
        <v>96</v>
      </c>
      <c r="C2" s="1" t="s">
        <v>948</v>
      </c>
      <c r="D2" s="1">
        <v>3</v>
      </c>
      <c r="E2" s="1" t="s">
        <v>63</v>
      </c>
      <c r="F2" s="1" t="s">
        <v>97</v>
      </c>
      <c r="G2" s="1" t="s">
        <v>61</v>
      </c>
      <c r="H2" s="1" t="s">
        <v>949</v>
      </c>
      <c r="I2" s="1" t="s">
        <v>62</v>
      </c>
      <c r="J2" s="1" t="s">
        <v>98</v>
      </c>
      <c r="K2" s="1" t="s">
        <v>954</v>
      </c>
      <c r="M2" s="1" t="s">
        <v>950</v>
      </c>
      <c r="N2" s="1" t="s">
        <v>951</v>
      </c>
      <c r="O2" s="1" t="s">
        <v>952</v>
      </c>
      <c r="P2" s="1" t="s">
        <v>105</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FL1</vt:lpstr>
      <vt:lpstr>FL1_QA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2014-06-27T14:08:15Z</dcterms:modified>
</cp:coreProperties>
</file>