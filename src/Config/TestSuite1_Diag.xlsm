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Diagnostic" sheetId="1" r:id="rId1"/>
    <sheet name="Diagnostic_QA" sheetId="14" r:id="rId2"/>
    <sheet name="ItemReview" sheetId="5" r:id="rId3"/>
    <sheet name="Translation" sheetId="8" r:id="rId4"/>
    <sheet name="Test_Directions" sheetId="9" r:id="rId5"/>
  </sheets>
  <functionGroups builtInGroupCount="18"/>
  <definedNames>
    <definedName name="_xlnm._FilterDatabase" localSheetId="0" hidden="1">Diagnostic!$A$1:$N$111</definedName>
  </definedNames>
  <calcPr calcId="152511"/>
</workbook>
</file>

<file path=xl/calcChain.xml><?xml version="1.0" encoding="utf-8"?>
<calcChain xmlns="http://schemas.openxmlformats.org/spreadsheetml/2006/main">
  <c r="K112" i="1" l="1"/>
  <c r="F115" i="8" l="1"/>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2" i="8"/>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2" i="1" l="1"/>
</calcChain>
</file>

<file path=xl/sharedStrings.xml><?xml version="1.0" encoding="utf-8"?>
<sst xmlns="http://schemas.openxmlformats.org/spreadsheetml/2006/main" count="1965" uniqueCount="880">
  <si>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</si>
  <si>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</si>
  <si>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</si>
  <si>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</si>
  <si>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</si>
  <si>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</si>
  <si>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</si>
  <si>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</si>
  <si>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</si>
  <si>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</si>
  <si>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</si>
  <si>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</si>
  <si>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</si>
  <si>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</si>
  <si>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</si>
  <si>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</si>
  <si>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</si>
  <si>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What is the mass of 1 L of air at STP?</t>
  </si>
  <si>
    <t>A balloon is filled with helium at sea level and then released; the temperature is 300K. It drifts up to 2000 m, where the temperature is 270 K. By how much does the balloon's volume change?</t>
  </si>
  <si>
    <t>Given the same barometric reading, which of the following conditions would produce the least dense air?</t>
  </si>
  <si>
    <t>Based on the discussion in the second paragraph, it can most reasonably be inferred that Auden’s contemporaries believed:</t>
  </si>
  <si>
    <t>On the basis of the information contained in the passage, it can most justifiably be concluded that throughout Auden’s career his poetry was characterized by:</t>
  </si>
  <si>
    <t>A patient with hypothyroidism is found to have a low TSH level. Which of the following would prove that the abnormality is in the hypothalamus?</t>
  </si>
  <si>
    <t>Page</t>
  </si>
  <si>
    <t>ItmRwSection</t>
  </si>
  <si>
    <t>Score</t>
  </si>
  <si>
    <t>Percentile</t>
  </si>
  <si>
    <t>Diagnostic</t>
  </si>
  <si>
    <t>total</t>
  </si>
  <si>
    <t>SectionLabel</t>
  </si>
  <si>
    <t>PHYSICAL SCIENCES</t>
  </si>
  <si>
    <t>VERBAL REASONING</t>
  </si>
  <si>
    <t>BIOLOGICAL SCIENCES</t>
  </si>
  <si>
    <t>SCORE</t>
  </si>
  <si>
    <t>SheetName</t>
  </si>
  <si>
    <t>Topic</t>
  </si>
  <si>
    <t>Compounds and Stoichiometry</t>
  </si>
  <si>
    <t>Gases</t>
  </si>
  <si>
    <t>Units and Kinematics</t>
  </si>
  <si>
    <t>Newtonian Mechanics</t>
  </si>
  <si>
    <t>Periodic Table and Trends</t>
  </si>
  <si>
    <t>Redox Reactions and Electrochemistry</t>
  </si>
  <si>
    <t>Fluids/Solids</t>
  </si>
  <si>
    <t>Atomic Phenomena</t>
  </si>
  <si>
    <t>Acids and Bases</t>
  </si>
  <si>
    <t>Solution Chemistry</t>
  </si>
  <si>
    <t>Electrostatics</t>
  </si>
  <si>
    <t>Magnetism</t>
  </si>
  <si>
    <t>Atomic and Electronic Structure</t>
  </si>
  <si>
    <t>Thermodynamics/Thermochemistry</t>
  </si>
  <si>
    <t>Rate Process/Kinetics</t>
  </si>
  <si>
    <t>Geometrical Optics</t>
  </si>
  <si>
    <t>Detail</t>
  </si>
  <si>
    <t>Evaluation</t>
  </si>
  <si>
    <t>Global</t>
  </si>
  <si>
    <t>Application</t>
  </si>
  <si>
    <t>Incorporation</t>
  </si>
  <si>
    <t>Deduction</t>
  </si>
  <si>
    <t>Endocrine System</t>
  </si>
  <si>
    <t>Enzymes and Cellular Metabolism</t>
  </si>
  <si>
    <t>Hydrocarbons</t>
  </si>
  <si>
    <t>Isomerism</t>
  </si>
  <si>
    <t>Alcohols and Ethers</t>
  </si>
  <si>
    <t>Circulatory System</t>
  </si>
  <si>
    <t>Amino Acids and Proteins</t>
  </si>
  <si>
    <t>Molecular Biology</t>
  </si>
  <si>
    <t>Generalized Eukaryotic Cell</t>
  </si>
  <si>
    <t>Aromaticity</t>
  </si>
  <si>
    <t>Spectroscopy</t>
  </si>
  <si>
    <t>Microbiology</t>
  </si>
  <si>
    <t>Amines</t>
  </si>
  <si>
    <t>Separation and Purification Techniques</t>
  </si>
  <si>
    <t>Mendelian Genetics</t>
  </si>
  <si>
    <t>Evolution</t>
  </si>
  <si>
    <t>Reproduction and Development</t>
  </si>
  <si>
    <t>Lymphatic and Immune Systems</t>
  </si>
  <si>
    <t>TabLabel</t>
  </si>
  <si>
    <t>None</t>
  </si>
  <si>
    <t>Verbal Reasoning</t>
  </si>
  <si>
    <t>Biological Sciences</t>
  </si>
  <si>
    <t>Physical Sciences</t>
  </si>
  <si>
    <t>Expected_Result</t>
  </si>
  <si>
    <t>Pass</t>
  </si>
  <si>
    <t>ScaledScore</t>
  </si>
  <si>
    <t>Actual_Answer</t>
  </si>
  <si>
    <t>Actual_Topic</t>
  </si>
  <si>
    <t>Periodic Motion and Waves</t>
  </si>
  <si>
    <t>PageTitle</t>
  </si>
  <si>
    <t>MCAT Diagnostic - Physical Sciences</t>
  </si>
  <si>
    <t>Item_Num</t>
  </si>
  <si>
    <t>Review_ID</t>
  </si>
  <si>
    <t>md001.1</t>
  </si>
  <si>
    <t>md001.2</t>
  </si>
  <si>
    <t>md001.3</t>
  </si>
  <si>
    <t>md001.4</t>
  </si>
  <si>
    <t>md001.5</t>
  </si>
  <si>
    <t>md002.1</t>
  </si>
  <si>
    <t>md002.2</t>
  </si>
  <si>
    <t>md002.3</t>
  </si>
  <si>
    <t>md002.4</t>
  </si>
  <si>
    <t>md002.5</t>
  </si>
  <si>
    <t>mds003.1</t>
  </si>
  <si>
    <t>mds003.2</t>
  </si>
  <si>
    <t>mds003.3</t>
  </si>
  <si>
    <t>mds003.4</t>
  </si>
  <si>
    <t>md007.1</t>
  </si>
  <si>
    <t>md007.2</t>
  </si>
  <si>
    <t>md007.3</t>
  </si>
  <si>
    <t>md007.4</t>
  </si>
  <si>
    <t>md008.1</t>
  </si>
  <si>
    <t>md008.2</t>
  </si>
  <si>
    <t>md008.3</t>
  </si>
  <si>
    <t>md008.4</t>
  </si>
  <si>
    <t>md008.5</t>
  </si>
  <si>
    <t>mds009.1</t>
  </si>
  <si>
    <t>mds009.2</t>
  </si>
  <si>
    <t>mds009.3</t>
  </si>
  <si>
    <t>mds009.4</t>
  </si>
  <si>
    <t>md012.1</t>
  </si>
  <si>
    <t>md012.2</t>
  </si>
  <si>
    <t>md012.3</t>
  </si>
  <si>
    <t>md012.4</t>
  </si>
  <si>
    <t>md012.5</t>
  </si>
  <si>
    <t>md012.6</t>
  </si>
  <si>
    <t>md012.7</t>
  </si>
  <si>
    <t>md013.1</t>
  </si>
  <si>
    <t>md013.2</t>
  </si>
  <si>
    <t>md013.3</t>
  </si>
  <si>
    <t>md013.4</t>
  </si>
  <si>
    <t>md013.5</t>
  </si>
  <si>
    <t>MCAT Diagnostic - Verbal Reasoning</t>
  </si>
  <si>
    <t>md014.1</t>
  </si>
  <si>
    <t>md014.2</t>
  </si>
  <si>
    <t>md014.3</t>
  </si>
  <si>
    <t>md014.4</t>
  </si>
  <si>
    <t>md014.5</t>
  </si>
  <si>
    <t>md014.6</t>
  </si>
  <si>
    <t>md014.7</t>
  </si>
  <si>
    <t>md014.8</t>
  </si>
  <si>
    <t>md015.1</t>
  </si>
  <si>
    <t>md015.2</t>
  </si>
  <si>
    <t>md015.3</t>
  </si>
  <si>
    <t>md015.4</t>
  </si>
  <si>
    <t>md015.5</t>
  </si>
  <si>
    <t>md015.6</t>
  </si>
  <si>
    <t>md015.7</t>
  </si>
  <si>
    <t>md015.8</t>
  </si>
  <si>
    <t>md015.9</t>
  </si>
  <si>
    <t>md016.1</t>
  </si>
  <si>
    <t>md016.2</t>
  </si>
  <si>
    <t>md016.3</t>
  </si>
  <si>
    <t>md016.4</t>
  </si>
  <si>
    <t>md016.5</t>
  </si>
  <si>
    <t>md016.6</t>
  </si>
  <si>
    <t>md016.7</t>
  </si>
  <si>
    <t>md016.8</t>
  </si>
  <si>
    <t>md017.1</t>
  </si>
  <si>
    <t>md017.2</t>
  </si>
  <si>
    <t>md017.3</t>
  </si>
  <si>
    <t>md017.4</t>
  </si>
  <si>
    <t>md017.5</t>
  </si>
  <si>
    <t>md017.6</t>
  </si>
  <si>
    <t>md017.7</t>
  </si>
  <si>
    <t>MCAT Diagnostic - Biological Sciences</t>
  </si>
  <si>
    <t>md018.1</t>
  </si>
  <si>
    <t>md018.2</t>
  </si>
  <si>
    <t>md018.3</t>
  </si>
  <si>
    <t>md018.4</t>
  </si>
  <si>
    <t>md019.1</t>
  </si>
  <si>
    <t>md019.2</t>
  </si>
  <si>
    <t>md019.3</t>
  </si>
  <si>
    <t>md019.4</t>
  </si>
  <si>
    <t>md019.5</t>
  </si>
  <si>
    <t>md020.1</t>
  </si>
  <si>
    <t>md020.2</t>
  </si>
  <si>
    <t>md020.3</t>
  </si>
  <si>
    <t>md020.4</t>
  </si>
  <si>
    <t>md020.5</t>
  </si>
  <si>
    <t>md020.6</t>
  </si>
  <si>
    <t>mds021.1mod</t>
  </si>
  <si>
    <t>mds021.2mod</t>
  </si>
  <si>
    <t>mds021.3mod</t>
  </si>
  <si>
    <t>mds021.4mod</t>
  </si>
  <si>
    <t>mds021.5mod</t>
  </si>
  <si>
    <t>md026.1</t>
  </si>
  <si>
    <t>md026.2</t>
  </si>
  <si>
    <t>md026.3</t>
  </si>
  <si>
    <t>md026.4</t>
  </si>
  <si>
    <t>md027.1</t>
  </si>
  <si>
    <t>md027.2</t>
  </si>
  <si>
    <t>md027.3</t>
  </si>
  <si>
    <t>md027.4</t>
  </si>
  <si>
    <t>md027.5</t>
  </si>
  <si>
    <t>md027.6</t>
  </si>
  <si>
    <t>md028.1</t>
  </si>
  <si>
    <t>md028.2</t>
  </si>
  <si>
    <t>md028.3</t>
  </si>
  <si>
    <t>md028.4</t>
  </si>
  <si>
    <t>md028.5</t>
  </si>
  <si>
    <t>md028.6</t>
  </si>
  <si>
    <t>mds029.1</t>
  </si>
  <si>
    <t>mds029.2</t>
  </si>
  <si>
    <t>mds029.3</t>
  </si>
  <si>
    <t>MCAT Diagnostic - MCAT Diagnostic</t>
  </si>
  <si>
    <t>Title</t>
  </si>
  <si>
    <t>The MCAT Diagnostic Test you will complete next is similar in content and format to what you will see on Test Day, except that each section is slightly shorter than the actual exam and there is no Writing Sample on today's exam. The scaled scores you receive for the Physical Sciences, Biological Sciences, Verbal Reasoning tests and your overall score should be a good general indicator of your MCAT competency in those areas, but should not be taken as definitive.</t>
  </si>
  <si>
    <t>Sections</t>
  </si>
  <si>
    <t>Physical Sciences - 39 questions, 50 minutes (actual exam - 52 questions, 70 minutes)</t>
  </si>
  <si>
    <t>Test_Structure3</t>
  </si>
  <si>
    <t>Test_Structure2</t>
  </si>
  <si>
    <t>Test_Structure1</t>
  </si>
  <si>
    <t>To move on to the next section, or if you want to skip around in a section click the Review button at the bottom of the test screen to move to Item Review page. You will also be take to Item Review at the end of each section. From there, you can click End to move to the Next Section or to submit your test from Item Review for the last section. Note: you cannot return to a section once you exit it.</t>
  </si>
  <si>
    <t>Start_Text</t>
  </si>
  <si>
    <t>Click the Start button to begin. Test timing will begin as soon as you click this button.</t>
  </si>
  <si>
    <t>Test_Structure4</t>
  </si>
  <si>
    <t>Sheet_Name</t>
  </si>
  <si>
    <t>Test_Directions</t>
  </si>
  <si>
    <t>Test_Procedures</t>
  </si>
  <si>
    <t>Section1</t>
  </si>
  <si>
    <t>Section2</t>
  </si>
  <si>
    <t>Section3</t>
  </si>
  <si>
    <t>Section4</t>
  </si>
  <si>
    <t>Passage_Text</t>
  </si>
  <si>
    <t>Opt_1</t>
  </si>
  <si>
    <t>Opt_2</t>
  </si>
  <si>
    <t>Opt_3</t>
  </si>
  <si>
    <t>Opt_4</t>
  </si>
  <si>
    <t>Opt_5</t>
  </si>
  <si>
    <t>Mark</t>
  </si>
  <si>
    <t>Break_Title</t>
  </si>
  <si>
    <t>MCAT Diagnostic - Break</t>
  </si>
  <si>
    <t>This is an authorized break.</t>
  </si>
  <si>
    <t>Break_Message</t>
  </si>
  <si>
    <t>0.66 g</t>
  </si>
  <si>
    <t>1.3 g</t>
  </si>
  <si>
    <t>14.69 g</t>
  </si>
  <si>
    <t>29 g</t>
  </si>
  <si>
    <t>It increases by 13%.</t>
  </si>
  <si>
    <t>It increases by 39%.</t>
  </si>
  <si>
    <t>It decreases by 11%.</t>
  </si>
  <si>
    <t>It decreases by 28%.</t>
  </si>
  <si>
    <t>Low temperature, high vapor pressure</t>
  </si>
  <si>
    <t>Low temperature, low vapor pressure</t>
  </si>
  <si>
    <t>High temperature, high vapor pressure</t>
  </si>
  <si>
    <t>High temperature, low vapor pressure</t>
  </si>
  <si>
    <t>If the temperature is 270 K, which of the following is a true statement?</t>
  </si>
  <si>
    <t>1 mole of O2 has more kinetic energy than 1 mole of He.</t>
  </si>
  <si>
    <t>1 mole of N2 and 1 mole of He have the same kinetic energy.</t>
  </si>
  <si>
    <t>1 mole of He has more kinetic energy than 1 mole of O2.</t>
  </si>
  <si>
    <t>1 mole of N2 has more kinetic energy than 1 mole of O2.</t>
  </si>
  <si>
    <t>What factors directly contribute to the average velocity of gas particles?</t>
  </si>
  <si>
    <t>I and II only</t>
  </si>
  <si>
    <t>I and III only</t>
  </si>
  <si>
    <t>II and III only</t>
  </si>
  <si>
    <t>I, II, and III</t>
  </si>
  <si>
    <t>Dry air at sea level consists chiefly of three gases: approximately 78% nitrogen, 21% oxygen, and 1% argon by volume. Carbon dioxide accounts for 0.03% of the atmosphere; trace amounts of other noble gases and various pollutants are also present. Since the dew point (the condensation point of water) varies with temperature, the amount of water in the atmosphere varies greatly. The phase diagram for water, shown below, may be used to determine the dew point at various temperatures.</t>
  </si>
  <si>
    <t>Before takeoff, when the satellite is placed on the spring platform, by how much is the spring compressed?</t>
  </si>
  <si>
    <t>0 m</t>
  </si>
  <si>
    <t>0.25 m</t>
  </si>
  <si>
    <t>2.5 m</t>
  </si>
  <si>
    <t>4.1 m</t>
  </si>
  <si>
    <t>Which of the following graphs could represent the satellite's distance from the surface of the earth versus time starting from lift-off ?</t>
  </si>
  <si>
    <t/>
  </si>
  <si>
    <t>In order for the rocket to escape the earth's gravitational attraction, which of the following statements about its energy must be true?</t>
  </si>
  <si>
    <t>8</t>
  </si>
  <si>
    <t>It must increase to its maximum value when it is still within the atmosphere.</t>
  </si>
  <si>
    <t>It must increase to its maximum value when it is beyond the atmosphere.</t>
  </si>
  <si>
    <t>The sum of its kinetic and potential energies must be equal to or greater than zero.</t>
  </si>
  <si>
    <t>The sum of its kinetic and potential energies must be equal to its initial potential energy.</t>
  </si>
  <si>
    <t>Once in geosynchronous orbit, which of the following statements about the acceleration of the satellite is true?</t>
  </si>
  <si>
    <t>I only</t>
  </si>
  <si>
    <t>II only</t>
  </si>
  <si>
    <t>III only</t>
  </si>
  <si>
    <t>Satellites A and B are both placed in a circular orbit 3,000 km above the earth's surface. The mass of satellite A is twice the mass of satellite B. What is the ratio of the speed of satellite A to the speed of satellite B?</t>
  </si>
  <si>
    <t>10</t>
  </si>
  <si>
    <t>4:1</t>
  </si>
  <si>
    <t>2:1</t>
  </si>
  <si>
    <t>1:1</t>
  </si>
  <si>
    <t>1:2</t>
  </si>
  <si>
    <t>At Cape Canaveral, a satellite is being launched by a rocket into orbit around the earth. The 1,000-kg satellite will be used to transmit cable television programs to viewers throughout the United States.</t>
  </si>
  <si>
    <t>Which of the following properties generally decreases as one goes from left to right across the periodic table?</t>
  </si>
  <si>
    <t>Number of neutrons</t>
  </si>
  <si>
    <t>Electronegativity</t>
  </si>
  <si>
    <t>Atomic weight</t>
  </si>
  <si>
    <t>Atomic radius</t>
  </si>
  <si>
    <t>Given the following standard reduction potentials,</t>
  </si>
  <si>
    <t>12</t>
  </si>
  <si>
    <t>Fe(s)</t>
  </si>
  <si>
    <t>Fe2+(aq)</t>
  </si>
  <si>
    <t>H2(g)</t>
  </si>
  <si>
    <t>Al(s)</t>
  </si>
  <si>
    <t>Water flows through the system as shown below. Give the heights of the water levels in the three pipes in increasing order if the pipes have circular cross sections.</t>
  </si>
  <si>
    <t>a, b, c</t>
  </si>
  <si>
    <t>b, a, c</t>
  </si>
  <si>
    <t>c, a, b</t>
  </si>
  <si>
    <t>They are all equal</t>
  </si>
  <si>
    <t>When an electron and a positron annihilate each other, all matter is converted into energy resulting in the release of two photons having the same energy. What is the minimum frequency of each photon?</t>
  </si>
  <si>
    <t>2.4 × 10–12 Hz</t>
  </si>
  <si>
    <t>4.1 × 1011 Hz</t>
  </si>
  <si>
    <t>1.2 × 1020 Hz</t>
  </si>
  <si>
    <t>1,400 Hz</t>
  </si>
  <si>
    <t>There is no passage associated with these questions.</t>
  </si>
  <si>
    <t>How many grams of AlCl3 are produced when 3 grams of Al(OH)3 react completely with excess HCl?</t>
  </si>
  <si>
    <t>2.36 g</t>
  </si>
  <si>
    <t>3.00 g</t>
  </si>
  <si>
    <t>5.05 g</t>
  </si>
  <si>
    <t>9.07 g</t>
  </si>
  <si>
    <t>If HCl is the only substance present in the stomach, what is the pH?</t>
  </si>
  <si>
    <t>–log (0.15)</t>
  </si>
  <si>
    <t>–log (0.2)</t>
  </si>
  <si>
    <t>log (0.15)</t>
  </si>
  <si>
    <t>log (0.2)</t>
  </si>
  <si>
    <t>While the active ingredients in most antacids are soluble in the acidic environment of the stomach, their solubility is significantly reduced in pure water. If a finely divided powder of one such compound, say CaCO3, is mixed with deionized water, which of the following will be true?</t>
  </si>
  <si>
    <t>Strong, soluble bases such as alkaline earth metal hydroxides are not used as antacids, but are often used in laboratory titrations. What volume of an aqueous 1.5 M Ba(OH)2 solution would be required to neutralize 10 mL of stomach acid?</t>
  </si>
  <si>
    <t>0.5 mL</t>
  </si>
  <si>
    <t>1.5 mL</t>
  </si>
  <si>
    <t>10.0 mL</t>
  </si>
  <si>
    <t>15.0 mL</t>
  </si>
  <si>
    <t>When food is ingested, it is stored in the stomach, where it is mixed with acid, mucus, and pepsin (a digestive enzyme). In its resting state, the human stomach contains approximately 0.15 N HCl. In people with sensitive stomachs, this concentration of acid can cause indigestion and general discomfort, and aggravate ulcers (regions of the stomach lining lacking the protective mucous membrane). Various drugs may be used to combat stomach acidity; they generally consist of an active ingredient which can neutralize the acid, along with inert filler material. Carbonate compounds are very effective, but can cause physiological problems with prolonged use. Aluminum and magnesium salts, whose buffer activity raises stomach pH to approximately 4, are preferred.</t>
  </si>
  <si>
    <t>If the potential difference between P1 and P2 was kept constant, but the distance between them was doubled, how would the electric field be affected?</t>
  </si>
  <si>
    <t>The electric field would remain the same.</t>
  </si>
  <si>
    <t>The electric field would be halved.</t>
  </si>
  <si>
    <t>The electric field would be doubled.</t>
  </si>
  <si>
    <t>The electric field would be quadrupled.</t>
  </si>
  <si>
    <t>If the voltage at S1 is 10,000 V, and at S2 is zero V, how much work is done by the electric force on a doubly-ionized particle between S1 and S2?</t>
  </si>
  <si>
    <t>20</t>
  </si>
  <si>
    <t>0 eV</t>
  </si>
  <si>
    <t>5,000 eV</t>
  </si>
  <si>
    <t>10,000 eV</t>
  </si>
  <si>
    <t>20,000 eV</t>
  </si>
  <si>
    <t>What is the velocity of the particles entering the mass spectrometer?</t>
  </si>
  <si>
    <t>q/m</t>
  </si>
  <si>
    <t>E/B'</t>
  </si>
  <si>
    <t>B'/E</t>
  </si>
  <si>
    <t>E/B</t>
  </si>
  <si>
    <t>The electric field points from the positive to the negative plate, or in other words, toward the right. What is the direction of the magnetic field B?</t>
  </si>
  <si>
    <t>To the left</t>
  </si>
  <si>
    <t>Into the page</t>
  </si>
  <si>
    <t>Out of the page</t>
  </si>
  <si>
    <t>It is unrelated to the direction of the electric field</t>
  </si>
  <si>
    <t>Two singly charged ions hit the detector of the mass spectrometer such that the radii of their paths differ by 8 mm. What is the approximate difference in mass of the two ions?</t>
  </si>
  <si>
    <t>1 × 10–27 kg</t>
  </si>
  <si>
    <t>3 × 10–27 kg</t>
  </si>
  <si>
    <t>5 × 10–27 kg</t>
  </si>
  <si>
    <t>7 × 10–27 kg</t>
  </si>
  <si>
    <t>The mass spectrometer is a device that utilizes electric and magnetic fields to determine the masses of the elements, or compounds, that exist within a certain sample. The operation of the mass spectrometer relies on the fact that the path of a moving charge is affected by the presence of electric and magnetic fields.</t>
  </si>
  <si>
    <t>X2+ has 10 electrons. What is the atomic number of X?</t>
  </si>
  <si>
    <t>In the following electrochemical reaction, which material serves as the anode?</t>
  </si>
  <si>
    <t>ZnCl2</t>
  </si>
  <si>
    <t>NiCl2</t>
  </si>
  <si>
    <t>Hg(l)</t>
  </si>
  <si>
    <t>Zn(s)</t>
  </si>
  <si>
    <t>What decay particle does X represent?</t>
  </si>
  <si>
    <t>Alpha particle</t>
  </si>
  <si>
    <t>Gamma ray</t>
  </si>
  <si>
    <t>Positive beta particle (positron)</t>
  </si>
  <si>
    <t>Negative beta particle (electron)</t>
  </si>
  <si>
    <t>A uniform cube with sides of one meter and a specific gravity of 0.8 is suspended by a rope so that half of its volume is submerged in a liquid with a specific gravity of 0.4. The density of water is 1,000 kg/m3. Assuming g = 9.8 m/s2, what is the tension in the rope?</t>
  </si>
  <si>
    <t>7840 N</t>
  </si>
  <si>
    <t>1960 N</t>
  </si>
  <si>
    <t>12800 N</t>
  </si>
  <si>
    <t>5880 N</t>
  </si>
  <si>
    <t>Which reactions would occur spontaneously under standard conditions?</t>
  </si>
  <si>
    <t>All except 2</t>
  </si>
  <si>
    <t>Only 2</t>
  </si>
  <si>
    <t>All except 5 and 6</t>
  </si>
  <si>
    <t>Only 1,3, and 4</t>
  </si>
  <si>
    <t>What is the relationship between ΔG, ΔS, ΔH, and T?</t>
  </si>
  <si>
    <t>ΔG = ΔS − TΔH</t>
  </si>
  <si>
    <t>ΔG = T(ΔH −ΔS)</t>
  </si>
  <si>
    <t>ΔG = ΔH + TΔS</t>
  </si>
  <si>
    <t>ΔG = ΔH − TΔS</t>
  </si>
  <si>
    <t>Which of the following potential energy diagrams could represent Reaction 2?</t>
  </si>
  <si>
    <t>What is the rate law for Reaction 1?</t>
  </si>
  <si>
    <t>Rate = k[NO2]2</t>
  </si>
  <si>
    <t>Rate = k[NO2]2[O2]</t>
  </si>
  <si>
    <t>Rate = k[NO]2[O2][NO2]2</t>
  </si>
  <si>
    <t>The rate of the reaction cannot be determined without more information.</t>
  </si>
  <si>
    <t>Which reactions are likely to produce an increase in entropy?</t>
  </si>
  <si>
    <t>1, 5, and 6</t>
  </si>
  <si>
    <t>2 and 4</t>
  </si>
  <si>
    <t>3 only</t>
  </si>
  <si>
    <t>What values are commonly used to estimate enthalpies?</t>
  </si>
  <si>
    <t>Heat capacities</t>
  </si>
  <si>
    <t>Bond dissociation energies</t>
  </si>
  <si>
    <t>Oxidation states</t>
  </si>
  <si>
    <t>Activation energies</t>
  </si>
  <si>
    <t>The heat added to a closed system of an ideal gas of fixed volume is equal to:</t>
  </si>
  <si>
    <t>the change in entropy.</t>
  </si>
  <si>
    <t>the change in internal energy.</t>
  </si>
  <si>
    <t>enthalpy.</t>
  </si>
  <si>
    <t>free energy.</t>
  </si>
  <si>
    <t>The concentration of nitrogen oxides in our atmosphere has greatly increased during the past century, having significant negative impact on the environment. Nitrous oxide (N2O), which is released into the air by fertilizers and from newly cleared soil, is thought to contribute to the greenhouse effect by absorbing infrared radiation given off by the earth. Nitric oxide (NO) and nitrogen dioxide (NO2) produced by the burning of organic material contribute to the phenomenon known as photochemical smog. Although smog is generally thought of as resulting from the burning of fossil fuels, the burning of vegetation in the tropics is also a source of air pollution.</t>
  </si>
  <si>
    <t>Given that the objective produces an enlarged, inverted image of the specimen, which of the following must be true?</t>
  </si>
  <si>
    <t>The objective has a focal length of 6.0 mm and is located at a distance of 6.2 mm from the specimen under consideration. How far away from the objective will the image be?</t>
  </si>
  <si>
    <t>5.3 mm</t>
  </si>
  <si>
    <t>3.0 mm</t>
  </si>
  <si>
    <t>0.2 mm</t>
  </si>
  <si>
    <t>18.6 cm</t>
  </si>
  <si>
    <t>Where should the image produced by the objective fall given that the eyepiece functions like a simple magnifier?</t>
  </si>
  <si>
    <t>at infinity.</t>
  </si>
  <si>
    <t>at the focal point of the eyepiece.</t>
  </si>
  <si>
    <t>further from the eyepiece than the focal point.</t>
  </si>
  <si>
    <t>between the eyepiece and its focal point.</t>
  </si>
  <si>
    <t>A bacterium is studied using a microscope whose objective lens magnifies the specimen 100× and whose eyepiece lens magnifies the specimen 10×. If the bacterium appears to be 2 mm long, what is the actual size of the bacterium?</t>
  </si>
  <si>
    <t>2 μm</t>
  </si>
  <si>
    <t>20 μm</t>
  </si>
  <si>
    <t>0.5 μm</t>
  </si>
  <si>
    <t>50 μm</t>
  </si>
  <si>
    <t>Which of the following statements explains why fluorescent labels produce such high contrast?</t>
  </si>
  <si>
    <t>The percentage of the incident ultraviolet light transmitted through the glass lenses in the microscope is significantly greater than the percentage of incident visible light transmitted.</t>
  </si>
  <si>
    <t>The ground state electrons radiate visible light.</t>
  </si>
  <si>
    <t>When electrons are excited to high energy states, they reflect visible light.</t>
  </si>
  <si>
    <t>When electrons are excited to high energy states by absorption of high-frequency light, they release this energy in two or more transitions, usually emitting visible light.</t>
  </si>
  <si>
    <t>Progress in the field of cellular and sub-cellular systems is made possible by compound microscopes. These multiple-lens instruments magnify objects that would otherwise be undetectable to the human eye. A compound microscope is composed of two converging lenses, the objective and the eyepiece. The objective forms a real image of the object. This image is then magnified by the eyepiece which functions as a simple magnifier. The image formed by a simple magnifier is virtual, erect, and farther from the magnifier than the object. The overall magnification of the microscope is the product of the magnifications of the eyepiece and the objective.</t>
  </si>
  <si>
    <t>According to the passage, Auden’s later poetry failed to win acceptance primarily because:</t>
  </si>
  <si>
    <t>critics objected to the politically-conservative ideas expressed in it.</t>
  </si>
  <si>
    <t>the content was unnecessarily obscured by a discursive mode of presentation.</t>
  </si>
  <si>
    <t>its style was less pleasing than that of his earlier work.</t>
  </si>
  <si>
    <t>its predominantly religious themes were not appreciated by most readers.</t>
  </si>
  <si>
    <t>readers should interpret poetry without reference to the poet’s intentions.</t>
  </si>
  <si>
    <t>lyricism is more important than content in poetry.</t>
  </si>
  <si>
    <t>a great poet is one who is truly moral.</t>
  </si>
  <si>
    <t>poetry should be relevant to its social context.</t>
  </si>
  <si>
    <t>I, II and III</t>
  </si>
  <si>
    <t>The author suggests that Auden’s “middle manner” (end of ¶3):</t>
  </si>
  <si>
    <t>primarily reflected aesthetic distaste for lyrical exuberance.</t>
  </si>
  <si>
    <t>was a direct outgrowth of his changed ideological orientation.</t>
  </si>
  <si>
    <t>was an inaccurate reflection of his poetic abilities.</t>
  </si>
  <si>
    <t>won critical acceptance despite its poetic shortcomings.</t>
  </si>
  <si>
    <t>The author’s primary concern in this passage is to:</t>
  </si>
  <si>
    <t>discuss the reasons for the critical rejection of Auden’s final work.</t>
  </si>
  <si>
    <t>propose a reevaluation of Auden’s poetic evolution.</t>
  </si>
  <si>
    <t>suggest an explanation for Auden’s revisions of early works.</t>
  </si>
  <si>
    <t>present a unified interpretation of Auden’s early, middle, and late works.</t>
  </si>
  <si>
    <t>It can be inferred from the passage that W.H. Auden:</t>
  </si>
  <si>
    <t>compensated for the disjointedness of his ideas through lyrical unity in his poems.</t>
  </si>
  <si>
    <t>explored his mature concerns in less stylized forms of poetry.</t>
  </si>
  <si>
    <t>felt confined by a diminished thematic scope.</t>
  </si>
  <si>
    <t>progressively developed his technical facility throughout his life.</t>
  </si>
  <si>
    <t>According to the discussion contained in the fifth paragraph, in later years Auden viewed “September 1, 1939” as:</t>
  </si>
  <si>
    <t>conceptually flawed in its overly optimistic tone.</t>
  </si>
  <si>
    <t>a reaction to a specific event which was no longer relevant.</t>
  </si>
  <si>
    <t>inappropriately cynical in the post-War era.</t>
  </si>
  <si>
    <t>marred by insincere sentiment.</t>
  </si>
  <si>
    <t>In the final paragraph the author implies that some critics have:</t>
  </si>
  <si>
    <t>judged Auden primarily on the basis of his political beliefs.</t>
  </si>
  <si>
    <t>failed to appreciate the artistic improvement made by Auden in revising his works.</t>
  </si>
  <si>
    <t>rejected Auden’s right to censor his own works, while accepting his right to change his views.</t>
  </si>
  <si>
    <t>combined a justifiable specific criticism of Auden with a more questionable general one.</t>
  </si>
  <si>
    <t>W.H. Auden’s reputation, already declining by the 1950s, reached its nadir with the publication of his posthumous collection Thank you Fog (1974). Critics almost unanimously found his last work trite and garrulous. Indeed, the assessment has served as a retrospective judgment on the poet’s final three decades.</t>
  </si>
  <si>
    <t>The central thrust of the passage is that:</t>
  </si>
  <si>
    <t>in recent years indoor pollution has become a greater hazard to the public than outdoor pollution.</t>
  </si>
  <si>
    <t>researchers are unable to reliably estimate the dangers posed by air pollution.</t>
  </si>
  <si>
    <t>the risks associated with indoor air pollution are significant but difficult to assess.</t>
  </si>
  <si>
    <t>researchers have often exaggerated the risks associated with indoor air pollution.</t>
  </si>
  <si>
    <t>Which of the following is NOT identified in the passage as a possible health complication associated with indoor air pollution?</t>
  </si>
  <si>
    <t>Nausea</t>
  </si>
  <si>
    <t>Bacterial infection</t>
  </si>
  <si>
    <t>Allergic reactions</t>
  </si>
  <si>
    <t>Carbon monoxide poisoning</t>
  </si>
  <si>
    <t>Suppose a “sick” building installed a more efficient ventilation system. Pollutant concentrations went from “high” to “average.” The author would consider this:</t>
  </si>
  <si>
    <t>meaningful because the building possesses safe level of pollutants.</t>
  </si>
  <si>
    <t>significant because the building saves money.</t>
  </si>
  <si>
    <t>incomplete because the classifications are useless without additional information.</t>
  </si>
  <si>
    <t>insignificant because the difference between concentration levels is minimal.</t>
  </si>
  <si>
    <t>The author suggests that the primary difficulty in estimating the health risks of indoor pollution is that:</t>
  </si>
  <si>
    <t>the effects of pollutants are rarely demonstrably consistent.</t>
  </si>
  <si>
    <t>indoor pollutants decompose naturally into harmless compounds.</t>
  </si>
  <si>
    <t>the concentrations of individual pollutants are often too low to measure.</t>
  </si>
  <si>
    <t>researchers are more interested in the risks associated with outdoor pollution.</t>
  </si>
  <si>
    <t>With which of the following statements regarding indoor air pollution would the author be most likely to agree?</t>
  </si>
  <si>
    <t>Careful filtering is the best way to remove airborne pollutants from the interior atmosphere of a “sick” office building.</t>
  </si>
  <si>
    <t>Homeowners should not necessarily feel relieved if their homes contain only “average” levels of indoor pollutants.</t>
  </si>
  <si>
    <t>The dangers of outdoor pollution have been exaggerated, while the threats posed by indoor pollution have been ignored.</t>
  </si>
  <si>
    <t>Homeowners should insulate their homes in order to keep pollutant levels down.</t>
  </si>
  <si>
    <t>This passage was probably taken from a/an:</t>
  </si>
  <si>
    <t>environmental activist’s speech.</t>
  </si>
  <si>
    <t>building engineer’s handbook</t>
  </si>
  <si>
    <t>medical textbook.</t>
  </si>
  <si>
    <t>popular science magazine.</t>
  </si>
  <si>
    <t>The author of this passage would most probably consider statistics on indoor air pollution more valid if:</t>
  </si>
  <si>
    <t>observations and experiments yielded consistent results.</t>
  </si>
  <si>
    <t>researchers tested for all possible pollutant sources.</t>
  </si>
  <si>
    <t>the people who derived the statistics had been working longer in this field of study.</t>
  </si>
  <si>
    <t>findings were weighed in relation to the effects of outdoor air pollution.</t>
  </si>
  <si>
    <t>The author’s primary objection to classifying pollutant levels as “high”, “average”, and “low” is that such categories:</t>
  </si>
  <si>
    <t>are mathematically imprecise, and therefore exaggerate risks.</t>
  </si>
  <si>
    <t>do not account for the total levels of all pollutants in an interior atmosphere.</t>
  </si>
  <si>
    <t>may mislead homeowners into thinking that their homes are dangerous.</t>
  </si>
  <si>
    <t>are meaningless unless they correspond to the associated health risks.</t>
  </si>
  <si>
    <t>The passage implies that accelerating a building’s ventilation cycle may:</t>
  </si>
  <si>
    <t>slow the infiltration rate of pollutants.</t>
  </si>
  <si>
    <t>cause pollutants to break down into harmless compounds.</t>
  </si>
  <si>
    <t>require an expenditure of energy.</t>
  </si>
  <si>
    <t>significantly contribute to outdoor pollution.</t>
  </si>
  <si>
    <t>Outdoor air pollution has been studied almost since the beginning of the Industrial Revolution. Until recently, however, scientists virtually ignored the dangers of indoor air pollution. Research into this relatively new field has already yielded some startling results. In fact, researchers have found that the interior atmospheres of many homes and office buildings are more polluted than the outside air, with many of the pollutants originating from within the buildings themselves.</t>
  </si>
  <si>
    <t>Which factor does the author imply is fundamentally responsible for the current backlog in the courts?</t>
  </si>
  <si>
    <t>The increasing number of new cases brought before the courts</t>
  </si>
  <si>
    <t>The amount of bureaucratic paperwork that each case entails</t>
  </si>
  <si>
    <t>The emphasis on adversarial process currently found in law schools</t>
  </si>
  <si>
    <t>The disputatious character of U.S. society</t>
  </si>
  <si>
    <t>The author quotes Chief Justice Burger (¶1) in order to:</t>
  </si>
  <si>
    <t>contrast a conventional view of a problem with his own.</t>
  </si>
  <si>
    <t>cite a higher authority for his view of a problem.</t>
  </si>
  <si>
    <t>provide evidence to support a costly plan of action.</t>
  </si>
  <si>
    <t>shift from a discussion of the causes of a problem to a discussion of its consequences.</t>
  </si>
  <si>
    <t>The author would most likely agree with which of the following statements regarding the “problem” mentioned in ¶1?</t>
  </si>
  <si>
    <t>It can be partially resolved through an increase in the number of judgeships.</t>
  </si>
  <si>
    <t>It can be partially resolved through reforms in legal instruction and the judicial bureaucracy.</t>
  </si>
  <si>
    <t>It cannot be resolved because legislators have resisted streamlining the judicial hierarchy.</t>
  </si>
  <si>
    <t>It cannot be resolved because the character of U.S. society is such that disputants will always insist on litigation.</t>
  </si>
  <si>
    <t>Two neighbors dispute the ownership of a small plot of land bordering both of their properties. Based on the information contained in the passage, which of the following courses of action would the author most probably recommend?</t>
  </si>
  <si>
    <t>The neighbors should take their dispute to small claims court.</t>
  </si>
  <si>
    <t>One of the neighbors should agree to surrender the land to the other.</t>
  </si>
  <si>
    <t>The neighbors should attempt to settle the dispute through independent arbitration.</t>
  </si>
  <si>
    <t>The lawyers representing both parties should postpone the trial for as long as possible.</t>
  </si>
  <si>
    <t>Which of the following best summarizes the author’s reasons for selecting legal education as a focus of reform?</t>
  </si>
  <si>
    <t>As a group directly responsible for the problem of court overload, lawyers should be held accountable for its solutions.</t>
  </si>
  <si>
    <t>Lawyers are more amenable to influence than others, and pressure may be applied to them without any political cost.</t>
  </si>
  <si>
    <t>Law schools ought not to indoctrinate students in adversarial techniques.</t>
  </si>
  <si>
    <t>There is no alternative, given the failure of other avenues of reform.</t>
  </si>
  <si>
    <t>For which of the following misuses of the courts does the author propose a specific solution?</t>
  </si>
  <si>
    <t>Abuses of the privilege of postponement</t>
  </si>
  <si>
    <t>The use of lawsuits for purposes of harassment</t>
  </si>
  <si>
    <t>The trying of frivolous and weak suits</t>
  </si>
  <si>
    <t>Attorneys bringing suit without intention of going to trial</t>
  </si>
  <si>
    <t>Which of the following best describes the organization of the passage?</t>
  </si>
  <si>
    <t>The author examines a problem on several levels and then offers suggestions to alleviate it.</t>
  </si>
  <si>
    <t>The author presents two contrasting points of view and defends one of them.</t>
  </si>
  <si>
    <t>The author assigns responsibility for a problem to a single group and shows why that group should be responsible for the problem’s solution.</t>
  </si>
  <si>
    <t>The author points to a serious bureaucratic problem and explains why there can be no satisfactory solution.</t>
  </si>
  <si>
    <t>The author’s approach to the topic can best be described as:</t>
  </si>
  <si>
    <t>analytic.</t>
  </si>
  <si>
    <t>urgent.</t>
  </si>
  <si>
    <t>prescriptive.</t>
  </si>
  <si>
    <t>condemnatory.</t>
  </si>
  <si>
    <t>The number of new cases heard by every branch of the U.S. judiciary has risen radically in the last twenty years. The Supreme Court caseload alone has increased fourfold, with lower courts in yet more dire straits. Former Chief Justice Burger perceived an “irrational focus—virtually a mania—on litigation as the way to solve all problems.” We have, in short, become a nation of litigants.</t>
  </si>
  <si>
    <t>The primary purpose of the passage is to:</t>
  </si>
  <si>
    <t>describe absinthe and the roots of its popularity.</t>
  </si>
  <si>
    <t>outline the pharmaceutical applications of absinthe.</t>
  </si>
  <si>
    <t>explain the continued popularity of absinthe, despite its harmful effects.</t>
  </si>
  <si>
    <t>provide examples of absinthe’s influence on nineteenth-century literature and art.</t>
  </si>
  <si>
    <t>According to the passage, absinthe consumption increased in the late nineteenth century because:</t>
  </si>
  <si>
    <t>artists and writers relied on its hallucinogenic effects for creative inspiration.</t>
  </si>
  <si>
    <t>its ritualistic presentation and association with the artistic community intrigued drinkers.</t>
  </si>
  <si>
    <t>most of the herbs found in absinthe had been used for thousands of years with no harmful effects.</t>
  </si>
  <si>
    <t>the toxic properties of wormwood were found to have therapeutic effects.</t>
  </si>
  <si>
    <t>This passage is most likely an excerpt from:</t>
  </si>
  <si>
    <t>an editorial from a medical journal.</t>
  </si>
  <si>
    <t>a research paper on nineteenth-century art.</t>
  </si>
  <si>
    <t>a pamphlet warning about the hazards of drinking.</t>
  </si>
  <si>
    <t>an article on nineteenth-century cultural history.</t>
  </si>
  <si>
    <t>The author mentions Picasso and Manet in the fourth paragraph in order to:</t>
  </si>
  <si>
    <t>demonstrate that absinthe has no long-term effects on individuals.</t>
  </si>
  <si>
    <t>provide personal accounts of absinthe’s hallucinogenic effects.</t>
  </si>
  <si>
    <t>illustrate absinthe’s influence on turn-of-the-century artists.</t>
  </si>
  <si>
    <t>make a generalization about the people who overindulged in absinthe.</t>
  </si>
  <si>
    <t>The passage cites all of the following as examples of the effects of wormwood EXCEPT:</t>
  </si>
  <si>
    <t>convulsions</t>
  </si>
  <si>
    <t>brain damage</t>
  </si>
  <si>
    <t>hallucinations</t>
  </si>
  <si>
    <t>schizophrenia</t>
  </si>
  <si>
    <t>It can be inferred from the passage that the 1915 ban on absinthe:</t>
  </si>
  <si>
    <t>was eventually lifted because of the religious importance that wormwood traditionally held.</t>
  </si>
  <si>
    <t>was not enacted until long after the disease of absinthism was recognized.</t>
  </si>
  <si>
    <t>made it impossible for artists to use the drink to enhance creativity.</t>
  </si>
  <si>
    <t>was enacted when convulsive therapy, used in the treatment of schizophrenia, was found to be ineffective.</t>
  </si>
  <si>
    <t>The author’s discussion of the prohibition of absinthe contains which of the following elements?</t>
  </si>
  <si>
    <t>Evidence which proves that the substance is highly addictive</t>
  </si>
  <si>
    <t>A suggestion of a correlation between excessive absinthe consumption and brain disorders</t>
  </si>
  <si>
    <t>An analogy drawn between the ban on absinthe and more general prohibitions of liquor</t>
  </si>
  <si>
    <t>Examples of other drinks which possess the same toxic qualities as absinthe possesses</t>
  </si>
  <si>
    <t>The clear green liqueur known as absinthe achieved artistic immortality in the late nineteenth century, when it was often depicted in paintings of Parisian cafe life and extolled by well-known poets and artists. Absinthe had been popularized by French soldiers returning from fighting in Algeria in the 1840s, where, in an attempt to prevent fevers, they had added wormwood extract to their wine. Upon returning to France they switched to absinthe, a chief ingredient of which was wormwood oil. Because of this additive, absinthe induces dreamlike effects not produced by alcohol alone. But it is also toxic; excessive absinthe consumption can cause a dazed feeling, frightening hallucinations and even irreversible brain damage. The disease known as absinthism, featuring such symptoms, was recognized in the 1850s, yet the sale and manufacture of the drink was not prohibited until the twentieth century.</t>
  </si>
  <si>
    <t>If the patient is given TSH, T3 and T4 levels increase.</t>
  </si>
  <si>
    <t>If the patient is given TRH, TSH levels decrease.</t>
  </si>
  <si>
    <t>If the patient is given TRH, TSH levels increase.</t>
  </si>
  <si>
    <t>If the patient is given TSH, T3 and T4 levels decrease.</t>
  </si>
  <si>
    <t>If the concentration of plasma-binding proteins, thyroglobulin, and T4 secreted by the thyroid gland are all constant, which of the following would you expect to find in a healthy individual?</t>
  </si>
  <si>
    <t>As the % T4 bound to plasma-binding proteins increases, the % free T4 and the % T4 bound to thyroglobulin both increase.</t>
  </si>
  <si>
    <t>As the % T4 bound to thyroglobulin decreases, the % free T4 decreases, while the % T4 bound to plasma-binding proteins increases.</t>
  </si>
  <si>
    <t>As the % T4 bound to thyroglobulin decreases, the % free T4 and the % T4 bound to plasma-binding proteins both increase.</t>
  </si>
  <si>
    <t>As the % T4 bound to thyroglobulin increases, the % free T4 remains the same, while the % T4 bound to plasma-binding proteins decreases.</t>
  </si>
  <si>
    <t>The symptoms of hypothyroidism include a decreased resistance to cold, a decreased heart rate, and physical and mental lethargy. All of these symptoms could be accounted for by what effect of decreased thyroid hormone:</t>
  </si>
  <si>
    <t>increased carbohydrate absorption from the intestinal tract.</t>
  </si>
  <si>
    <t>decreased sympathetic activity.</t>
  </si>
  <si>
    <t>increased parasympathetic activity.</t>
  </si>
  <si>
    <t>decreased O2 consumption by cells</t>
  </si>
  <si>
    <t>Thyroxine hormone, T4, is unlike most hormones in that it does not have a specific target tissue. Instead, thyroxine exerts a broad effect on almost all cells in the body. Which of the following hormones similarly has effects on nearly every cell in the human body?</t>
  </si>
  <si>
    <t>Estrogen</t>
  </si>
  <si>
    <t>Anti-diuretic hormone</t>
  </si>
  <si>
    <t>Parathyroid hormone</t>
  </si>
  <si>
    <t>FSH</t>
  </si>
  <si>
    <t>Thyroid-stimulating hormone (TSH) is a peptide hormone synthesized and secreted by the anterior pituitary gland. Thyrotropin-releasing hormone (TRH), which is a releasing factor synthesized by the hypothalamus, stimulates the synthesis and secretion of TSH. TSH increases iodide uptake and stimulates the thyroid gland to synthesize the thyroid hormones. Hormones from the thyroid gland are involved in regulating metabolism.</t>
  </si>
  <si>
    <t>By what type of mechanism does the reaction of the unknown compound with methanol proceed?</t>
  </si>
  <si>
    <t>SN1</t>
  </si>
  <si>
    <t>SN2</t>
  </si>
  <si>
    <t>E1</t>
  </si>
  <si>
    <t>Cannot be determined</t>
  </si>
  <si>
    <t>What is the most probable structure for the unknown?</t>
  </si>
  <si>
    <t>C6H5CH2Br</t>
  </si>
  <si>
    <t>CH3CH2CH2CH2CH2CH2CH2Br</t>
  </si>
  <si>
    <t>CH3CH2C(CH3)BrCH2CH2CH3</t>
  </si>
  <si>
    <t>CH3CH2CH2CHBrCH2CH2CH3</t>
  </si>
  <si>
    <t>What is the best explanation for the loss of optical activity in the product?</t>
  </si>
  <si>
    <t>The product is no longer chiral.</t>
  </si>
  <si>
    <t>The product consists of equal amounts of two enantiomers.</t>
  </si>
  <si>
    <t>The product is aromatic.</t>
  </si>
  <si>
    <t>The product has a plane of symmetry.</t>
  </si>
  <si>
    <t>A similar reaction to the one described in the passage was found to occur when optically active C4H9Cl was reacted with sodium hydroxide. Which of the following could be possible structures for the products of the reaction?</t>
  </si>
  <si>
    <t>II and IV only</t>
  </si>
  <si>
    <t>I, II, III, and IV</t>
  </si>
  <si>
    <t>II, III, and IV only</t>
  </si>
  <si>
    <t>If 2-bromopropane was reacted with H2O, one of the products would be an alcohol. If this alcohol was then heated gently in the presence of an acid, what would the main product(s) be?</t>
  </si>
  <si>
    <t>Propene</t>
  </si>
  <si>
    <t>Propanal</t>
  </si>
  <si>
    <t>Propanone</t>
  </si>
  <si>
    <t>Propene and propanal</t>
  </si>
  <si>
    <t>A student is given an unidentified compound of the formula C7H15Br. The compound is found to rotate plane-polarized light. The reaction coordinate diagram for its reaction with methanol is shown below.</t>
  </si>
  <si>
    <t>According to Figure 1, at what PO2 are half the O2-binding sites on Hb available?</t>
  </si>
  <si>
    <t>20 mmHg</t>
  </si>
  <si>
    <t>25 mmHg</t>
  </si>
  <si>
    <t>85 mmHg</t>
  </si>
  <si>
    <t>90 mmHg</t>
  </si>
  <si>
    <t>Which of the following graphs most accurately depicts the O2 dissociation curves for Hb in normal blood and in acidic blood?</t>
  </si>
  <si>
    <t>A single amino acid change in the β-chain of Hb leads to the deformed shape of red blood cells seen in sickle-cell anemia; the amino acid glutamic acid is replaced by the amino acid valine. A researcher performs gel electrophoresis at pH 8.65 on Hb specimens. Which of the following samples could contain the mutant Hb which causes sickle-cell anemia?</t>
  </si>
  <si>
    <t>Sample 1 only</t>
  </si>
  <si>
    <t>Samples 1 and 2 only</t>
  </si>
  <si>
    <t>Samples 1 and 3 only</t>
  </si>
  <si>
    <t>Samples 1, 2, and 3</t>
  </si>
  <si>
    <t>Small mammals, such as dogs and mice, have higher metabolic rates than humans and require more O2 per gram of tissue. Therefore, the Hb of such species releases O2 more easily than human Hb. Which of the following graphs most accurately depicts the relationship between the oxygen dissociation curves of humans, dogs, and mice?</t>
  </si>
  <si>
    <t>An equilibrium exists between the two conformations of Hb such that:</t>
  </si>
  <si>
    <t>The value of L increases as the concentration of BPG increases.</t>
  </si>
  <si>
    <t>The value of L decreases as alkalinity increases.</t>
  </si>
  <si>
    <t>The value of L increases as pH decreases.</t>
  </si>
  <si>
    <t>The value of L decreases as PCO2 increases.</t>
  </si>
  <si>
    <t>In vitro, the oxygen affinity of fetal Hb is lower than that of adult Hb, yet in vivo, O2 is still transferred from maternal circulation to fetal circulation. Which of the following best explains this phenomenon?</t>
  </si>
  <si>
    <t>Fetal Hb binds BPG less strongly than adult Hb, and consequently, fetal Hb has a higher oxygen affinity than adult Hb.</t>
  </si>
  <si>
    <t>Fetal blood is more acidic than adult blood, and consequently, fetal Hb has a higher oxygen affinity than adult Hb.</t>
  </si>
  <si>
    <t>Fetal circulation relies almost entirely on myoglobin, which has a higher oxygen affinity than Hb.</t>
  </si>
  <si>
    <t>PO2 in the placenta is lower than PO2 in the fetal lungs, and consequently, fetal Hb has a lower oxygen affinity than adult Hb.</t>
  </si>
  <si>
    <t>Hemoglobin (Hb) is the iron-containing protein found in red blood cells that is responsible for the transport of both O2 and CO2 in the bloodstream. Hb is composed of four peptide subunits: two α-chains and two β-chains. Each subunit contains a heme group with an Fe2+ ion at its center. It is the Fe2+ that actually binds O2.</t>
  </si>
  <si>
    <t>Most bacterial DNA codes for mRNA, and most of the RNA produced by the cell is mRNA. Yet rRNA accounts for 80% of total cellular RNA and tRNA accounts for another 18% of total cellular RNA, while mRNA accounts for only 2%. Which of the following best accounts for this apparent discrepancy?</t>
  </si>
  <si>
    <t>Cells acquire tRNA and rRNA from other cells by facilitated diffusion.</t>
  </si>
  <si>
    <t>mRNA is very unstable and so few molecules are present in cells at any one time.</t>
  </si>
  <si>
    <t>Cells use more rRNA and tRNA than mRNA.</t>
  </si>
  <si>
    <t>Introns are degraded at a faster rate than exons.</t>
  </si>
  <si>
    <t>A researcher has isolated a previously uncharacterized molecule. After conducting many experiments, she has concluded that this molecule is secreted into the blood, regulates homeostatic processes, is not composed of amino acids, and does not function like an enzyme. Based on this data, this molecule is most likely a(n):</t>
  </si>
  <si>
    <t>peptide hormone.</t>
  </si>
  <si>
    <t>steroid hormone.</t>
  </si>
  <si>
    <t>antibody.</t>
  </si>
  <si>
    <t>nucleic acid.</t>
  </si>
  <si>
    <t>A single eukaryotic cell can grow to a maximum diameter of approximately 30 µm. Which of the following factors limits cell size?</t>
  </si>
  <si>
    <t>Rate of DNA replication</t>
  </si>
  <si>
    <t>Surface area-to-volume ratio</t>
  </si>
  <si>
    <t>Cell specialization</t>
  </si>
  <si>
    <t>Rate of cytoskeleton synthesis</t>
  </si>
  <si>
    <t>Which of the following is NOT a valid explanation of why oxalic acid (ethanedioic acid) is more acidic than acetic acid (ethanoic acid)?</t>
  </si>
  <si>
    <t>The oxalate ion is more stable than the acetate ion.</t>
  </si>
  <si>
    <t>Oxalic acid has two carboxyl groups which can each donate a hydrogen to solution, while acetic acid has only one.</t>
  </si>
  <si>
    <t>The methyl group in acetic acid is electron-withdrawing.</t>
  </si>
  <si>
    <t>Oxalic acid contains a greater quantity of electronegative oxygen atoms, allowing for more even distribution of the negative charge of the deprotonated form.</t>
  </si>
  <si>
    <t>The NMR spectrum of a compound with a molecular formula of C3H7Br, dissolved in CCl4 is as follows. What is the structure of the compound?</t>
  </si>
  <si>
    <t>Polynuclear aromatic hydrocarbons did not show mutagenic ability when placed with Salmonella only. However, they did show mutagenic ability when combined with human liver preparation. Which of the following best accounts for this result?</t>
  </si>
  <si>
    <t>In the absence of the liver preparation, the bacteria metabolized the polynuclear aromatic hydrocarbons into mutagenic agents.</t>
  </si>
  <si>
    <t>In the presence of the liver preparation, histidine could not be synthesized by the bacteria.</t>
  </si>
  <si>
    <t>The enzymes in the liver preparation resulted in the metabolic activation of the polynuclear aromatic hydrocarbons into a carcinogenic chemical.</t>
  </si>
  <si>
    <t>The exposure of the bacteria to human cellular components resulted in the back-mutation of the polynuclear aromatic hydrocarbons.</t>
  </si>
  <si>
    <t>Which of the following best accounts for the visible colonies on Plate I?</t>
  </si>
  <si>
    <t>Random mutations resulted in Salmonella cells that regained the ability to synthesize histidine</t>
  </si>
  <si>
    <t>The cells were able to grow because histidine is not an essential amino acid for Salmonella.</t>
  </si>
  <si>
    <t>In the absence of one amino acid, Salmonella substituted a similar amino acid in its place.</t>
  </si>
  <si>
    <t>Foreign chromosome fragments containing the normal genes for histidine biosynthesis were transformed into a few Salmonella cells.</t>
  </si>
  <si>
    <t>Plate IV contains twice the number of Salmonella back-mutants as does Plate III, although both plates show higher mutation rates than Plate 1. Which of the following CANNOT be assumed from this information?</t>
  </si>
  <si>
    <t>There are twice as many bacterial colonies growing on the medium in Plate IV as there are on the medium in Plate III.</t>
  </si>
  <si>
    <t>2-Aminoanthracene has a higher mutagenic potency than the polynuclear aromatic hydrocarbons.</t>
  </si>
  <si>
    <t>Polynuclear aromatic hydrocarbons test false negative in the Ames test.</t>
  </si>
  <si>
    <t>There are one half as many histidine-synthesizing Salmonella on Plate III as there are on Plate IV.</t>
  </si>
  <si>
    <t>If a researcher repeated this experiment using media supplemented with histidine, which of the following observations would NOT be expected?</t>
  </si>
  <si>
    <t>Researchers discovered that cooking meat with charcoal results in the formation of polynuclear aromatic hydrocarbons on the food. To test whether these compounds are carcinogens, the Ames test is used. The Ames test identifies compounds that are chemical mutagens, and since most chemical mutagens are carcinogens, this test is able to ascertain carcinogenic risk.</t>
  </si>
  <si>
    <t>The most likely structure of DEAE-cellulose is:</t>
  </si>
  <si>
    <t>(CH3CH2)2NH+CH2CH2-cellulose.</t>
  </si>
  <si>
    <t>(CH3)2NH+CH2-cellulose</t>
  </si>
  <si>
    <t>(CH3CH2)3NH+-cellulose.</t>
  </si>
  <si>
    <t>(CH3CH2)2NH4+CH2CH2-cellulose.</t>
  </si>
  <si>
    <t>Thin-layer chromatography (TLC) differs from column chromatography because the TLC eluant moves under the influence of:</t>
  </si>
  <si>
    <t>gravity.</t>
  </si>
  <si>
    <t>its partial pressure</t>
  </si>
  <si>
    <t>capillary action.</t>
  </si>
  <si>
    <t>osmosis.</t>
  </si>
  <si>
    <t>In purifying hemoglobin from human red blood cells, a biochemist suspects that some of the molecules have lost their quaternary structure. If she used a gel filtration column to separate the denatured and nondenatured proteins:</t>
  </si>
  <si>
    <t>the denatured protein would elute first.</t>
  </si>
  <si>
    <t>the nondenatured protein would elute first.</t>
  </si>
  <si>
    <t>the denatured and nondenatured proteins would elute together.</t>
  </si>
  <si>
    <t>the denatured protein would bind to the adsorbent and not elute.</t>
  </si>
  <si>
    <t>Which of the following is true about the eluant used to recover proteins in their native state from an ion-exchange column?</t>
  </si>
  <si>
    <t>It must have a characteristic salt concentration.</t>
  </si>
  <si>
    <t>It must contain proteases such as trypsin.</t>
  </si>
  <si>
    <t>It must contain reagents to reduce disulfide bonds.</t>
  </si>
  <si>
    <t>It must be hydrophobic.</t>
  </si>
  <si>
    <t>A recently isolated protein is rich in alanine, leucine, and tryptophan. Which of the following are likely characteristics of the protein?</t>
  </si>
  <si>
    <t>hydrophilic with high UV light absorption</t>
  </si>
  <si>
    <t>hydrophilic with low UV light absorption</t>
  </si>
  <si>
    <t>hydrophobic with high UV light absorption</t>
  </si>
  <si>
    <t>hydrophobic with low UV light absorption</t>
  </si>
  <si>
    <t>Figure 1 indicates that:</t>
  </si>
  <si>
    <t>fractions 5 and 10 have the highest protein concentration.</t>
  </si>
  <si>
    <t>fractions 5 and 10 have the highest concentration of tryptophan and the lowest concentration of tyrosine.</t>
  </si>
  <si>
    <t>fraction 7 has the highest protein concentration.</t>
  </si>
  <si>
    <t>fraction 7 has the highest concentration of target protein.</t>
  </si>
  <si>
    <t>In column chromatography, a common protein purification technique, a vertical column is filled with a permeable solid matrix called the adsorbent. A liquid solvent eluant, pulled by gravity, moves down through the adsorbent. Column chromatography can separate proteins according to size, substrate recognition, or charge depending on the adsorbent and eluants used.</t>
  </si>
  <si>
    <t>The form of albinism illustrated in Figure 1 is inherited as a(n):</t>
  </si>
  <si>
    <t>sex-linked trait.</t>
  </si>
  <si>
    <t>incompletely dominant trait.</t>
  </si>
  <si>
    <t>autosomal dominant trait.</t>
  </si>
  <si>
    <t>autosomal recessive trait.</t>
  </si>
  <si>
    <t>The phenotype of individual C3 is known; her genotype is not. Based on her normal phenotype from the pedigree, what is the probability that she is homozygous dominant for this trait?</t>
  </si>
  <si>
    <t>25%</t>
  </si>
  <si>
    <t>33%</t>
  </si>
  <si>
    <t>50%</t>
  </si>
  <si>
    <t>75%</t>
  </si>
  <si>
    <t>A normal woman had three normal children and one albino child with a normal man whose mother was an albino. What is the woman's genotype? (Note: A = allele for normal melanin; a = allele for albinism; X = the X chromosome.)</t>
  </si>
  <si>
    <t>Aa</t>
  </si>
  <si>
    <t>AA</t>
  </si>
  <si>
    <t>XaXa</t>
  </si>
  <si>
    <t>XaX</t>
  </si>
  <si>
    <t>The frequency of albinism in an isolated Amish community is 0.01. Using the Hardy-Weinberg equation, what is the probability that an individual from this community is heterozygous for albinism?</t>
  </si>
  <si>
    <t>0.01</t>
  </si>
  <si>
    <t>0.09</t>
  </si>
  <si>
    <t>0.18</t>
  </si>
  <si>
    <t>0.81</t>
  </si>
  <si>
    <t>Female carriers of a particular type of X-linked albinism have retinas with a mosaic pattern of pigment distribution. Which of the following best accounts for this clinical observation?</t>
  </si>
  <si>
    <t>Only some of the carriers' retinal cells have the albinism gene.</t>
  </si>
  <si>
    <t>The carriers' retinal cells produce only half as much pigment as normal retinal cells.</t>
  </si>
  <si>
    <t>50% of the carriers' sons will most likely express the albinism gene.</t>
  </si>
  <si>
    <t>X-chromosome inactivation during early development allows some of the carriers' retinal cells to produce pigment.</t>
  </si>
  <si>
    <t>In contrast to all other forms of albinism, individuals with Black Locks-Albinism-Deafness Syndrome (BADS) lack melanocytes in their skin and hair. The defect can be traced back to embryological development. BADS is most likely a result of a defect in cells derived from which germ layer?</t>
  </si>
  <si>
    <t>ectoderm</t>
  </si>
  <si>
    <t>endoderm</t>
  </si>
  <si>
    <t>mesoderm</t>
  </si>
  <si>
    <t>morula</t>
  </si>
  <si>
    <t>Melanocytes are cells containing melanosomes, which are the cellular organelles responsible for synthesizing melanin. Melanin is a skin, hair, and retinal pigment synthesized from the amino acid tyrosine via an enzymatic reaction pathway. Albinism is a genetic disorder in which melanin synthesis is blocked. In most forms of human albinism melanocytes appear to be normally distributed.</t>
  </si>
  <si>
    <t>One form of hereditary diabetes is the result of an autoimmune disorder. The body produces antibodies that destroy its own insulin-producing cells. The most likely target of these antibodies is:</t>
  </si>
  <si>
    <t>pancreas cells.</t>
  </si>
  <si>
    <t>spleen cells.</t>
  </si>
  <si>
    <t>adrenal cells.</t>
  </si>
  <si>
    <t>liver cells.</t>
  </si>
  <si>
    <t>A 43-year-old man steps on a rusty nail; it has been nearly 25 years since he has seen a doctor. The emergency room physician gives the man two injections: inactivated tetanus toxin and horse immunoglobulin to tetanus toxin. Why was the man given BOTH injections?</t>
  </si>
  <si>
    <t>The inactivated tetanus toxin is ineffective as a vaccine unless given in conjunction with the horse immunoglobulin.</t>
  </si>
  <si>
    <t>The horse immunoglobulin prevents adverse reactions the man may have to the inactivated tetanus toxin.</t>
  </si>
  <si>
    <t>The horse immunoglobulin provides long-term protection by stimulating B-cell proliferation, while the inactivated tetanus toxin provides short-term protection.</t>
  </si>
  <si>
    <t>The horse immunoglobulin provides short-term protection, while the inactivated tetanus toxin provides long-term protection by stimulating B-cell proliferation.</t>
  </si>
  <si>
    <t>A racemic mixture can best be separated by:</t>
  </si>
  <si>
    <t>distillation.</t>
  </si>
  <si>
    <t>recrystallization.</t>
  </si>
  <si>
    <t>converting the enantiomers to diastereomers.</t>
  </si>
  <si>
    <t>differential centrifugation.</t>
  </si>
  <si>
    <t>Y</t>
  </si>
  <si>
    <t>Yes</t>
  </si>
  <si>
    <t>Total</t>
  </si>
  <si>
    <t>Percentile_Num</t>
  </si>
  <si>
    <t>Percentile_th</t>
  </si>
  <si>
    <t>Totals</t>
  </si>
  <si>
    <t>Verbal Reasoning - 32 questions, 40 minutes (actual exam - 40 questions, 60 minutes)</t>
  </si>
  <si>
    <t>Biological Sciences - 39 questions, 50 minutes (actual exam - 52 questions, 70 minutes)</t>
  </si>
  <si>
    <t>_x000D_
}</t>
  </si>
  <si>
    <t>_x000D_
}_x000D_
}</t>
  </si>
  <si>
    <t>_x000D_
}_x000D_
}_x000D_
}</t>
  </si>
  <si>
    <t>_x000D_
}_x000D_
}_x000D_
}_x000D_
}</t>
  </si>
  <si>
    <t>_x000D_
}_x000D_
}_x000D_
}_x000D_
}_x000D_
}</t>
  </si>
  <si>
    <t>_x000D_
}_x000D_
}_x000D_
}_x000D_
}_x000D_
}_x000D_
}</t>
  </si>
  <si>
    <t>_x000D_
}_x000D_
}_x000D_
}_x000D_
}_x000D_
}_x000D_
}_x000D_
}</t>
  </si>
  <si>
    <t>_x000D_
}_x000D_
}_x000D_
}_x000D_
}_x000D_
}_x000D_
}_x000D_
}_x000D_
}</t>
  </si>
  <si>
    <t>_x000D_
}_x000D_
}_x000D_
}_x000D_
}_x000D_
}_x000D_
}_x000D_
}_x000D_
}_x000D_
}</t>
  </si>
  <si>
    <t>_x000D_
}_x000D_
}_x000D_
}_x000D_
}_x000D_
}_x000D_
}_x000D_
}_x000D_
}_x000D_
}_x000D_
}</t>
  </si>
  <si>
    <t>_x000D_
}_x000D_
}_x000D_
}_x000D_
}_x000D_
}_x000D_
}_x000D_
}_x000D_
}_x000D_
}_x000D_
}_x000D_
}</t>
  </si>
  <si>
    <t>_x000D_
}_x000D_
}_x000D_
}_x000D_
}_x000D_
}_x000D_
}_x000D_
}_x000D_
}_x000D_
}_x000D_
}_x000D_
}_x000D_
}</t>
  </si>
  <si>
    <t>_x000D_
}_x000D_
}_x000D_
}_x000D_
}_x000D_
}_x000D_
}_x000D_
}_x000D_
}_x000D_
}_x000D_
}_x000D_
}_x000D_
}_x000D_
}</t>
  </si>
  <si>
    <t>_x000D_
}_x000D_
}_x000D_
}_x000D_
}_x000D_
}_x000D_
}_x000D_
}_x000D_
}_x000D_
}_x000D_
}_x000D_
}_x000D_
}_x000D_
}_x000D_
}</t>
  </si>
  <si>
    <t>_x000D_
}_x000D_
}_x000D_
}_x000D_
}_x000D_
}_x000D_
}_x000D_
}_x000D_
}_x000D_
}_x000D_
}_x000D_
}_x000D_
}_x000D_
}_x000D_
}_x000D_
}</t>
  </si>
  <si>
    <t>_x000D_
}_x000D_
}_x000D_
}_x000D_
}_x000D_
}_x000D_
}_x000D_
}_x000D_
}_x000D_
}_x000D_
}_x000D_
}_x000D_
}_x000D_
}_x000D_
}_x000D_
}_x000D_
}</t>
  </si>
  <si>
    <t>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</si>
  <si>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</si>
  <si>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</si>
  <si>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</si>
  <si>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</si>
  <si>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</si>
  <si>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</si>
  <si>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</si>
  <si>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</si>
  <si>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</si>
  <si>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</si>
  <si>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</si>
  <si>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</si>
  <si>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</si>
  <si>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</si>
  <si>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</si>
  <si>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</si>
  <si>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</si>
  <si>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</si>
  <si>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</si>
  <si>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</si>
  <si>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</si>
  <si>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</si>
  <si>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</si>
  <si>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</si>
  <si>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</si>
  <si>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</si>
  <si>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</si>
  <si>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</si>
  <si>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</si>
  <si>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</si>
  <si>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</si>
  <si>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</si>
  <si>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</si>
  <si>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</si>
  <si>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</si>
  <si>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</si>
  <si>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</si>
  <si>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</si>
  <si>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</si>
  <si>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</si>
  <si>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</si>
  <si>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</si>
  <si>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</si>
  <si>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</si>
  <si>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</si>
  <si>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</si>
  <si>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</si>
  <si>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</si>
  <si>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</si>
  <si>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</si>
  <si>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</si>
  <si>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</si>
  <si>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</si>
  <si>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</si>
  <si>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</si>
  <si>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</si>
  <si>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</si>
  <si>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</si>
  <si>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</si>
  <si>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</si>
  <si>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</si>
  <si>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</si>
  <si>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</si>
  <si>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</si>
  <si>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</si>
  <si>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</si>
  <si>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</si>
  <si>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</si>
  <si>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</si>
  <si>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</si>
  <si>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</si>
  <si>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</si>
  <si>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</si>
  <si>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</si>
  <si>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</si>
  <si>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</si>
  <si>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</si>
  <si>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</si>
  <si>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</si>
  <si>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</si>
  <si>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</si>
  <si>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</si>
  <si>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</si>
  <si>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</si>
  <si>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</si>
  <si>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</si>
  <si>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</si>
  <si>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</si>
  <si>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</si>
  <si>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</si>
  <si>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</si>
  <si>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</si>
  <si>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</si>
  <si>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trial</t>
  </si>
  <si>
    <t>3rd</t>
  </si>
  <si>
    <t>4th</t>
  </si>
  <si>
    <t>5th</t>
  </si>
  <si>
    <t>2nd</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</si>
</sst>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2" fillId="0" borderId="0" xfId="0" applyNumberFormat="1" applyFont="1" applyAlignment="1">
      <alignment wrapText="1"/>
    </xf>
    <xf numFmtId="0" fontId="3" fillId="6" borderId="0" xfId="0" applyFont="1" applyFill="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112"/>
  <sheetViews>
    <sheetView workbookViewId="0">
      <selection activeCell="F8" sqref="F8"/>
    </sheetView>
  </sheetViews>
  <sheetFormatPr defaultRowHeight="11.25" x14ac:dyDescent="0.2"/>
  <cols>
    <col min="1" max="1" width="9.140625" style="2" customWidth="1" collapsed="1"/>
    <col min="2" max="2" width="16.28515625" style="2" customWidth="1" collapsed="1"/>
    <col min="3" max="3" width="11.7109375" style="2" customWidth="1" collapsed="1"/>
    <col min="4" max="4" width="9.7109375" style="2" customWidth="1" collapsed="1"/>
    <col min="5" max="5" width="5.140625" style="2" customWidth="1" collapsed="1"/>
    <col min="6" max="6" width="10.28515625" style="3" customWidth="1" collapsed="1"/>
    <col min="7" max="7" width="9.140625" style="2" collapsed="1"/>
    <col min="8" max="8" width="9.140625" style="8" collapsed="1"/>
    <col min="9" max="9" width="5.42578125" style="8" customWidth="1" collapsed="1"/>
    <col min="10" max="10" width="8.7109375" style="2" bestFit="1" customWidth="1" collapsed="1"/>
    <col min="11" max="11" width="12.42578125" style="2" customWidth="1" collapsed="1"/>
    <col min="12" max="12" width="11.42578125" style="2" bestFit="1" customWidth="1" collapsed="1"/>
    <col min="13" max="13" width="34.5703125" style="2" customWidth="1" collapsed="1"/>
    <col min="14" max="14" width="10" style="2" bestFit="1" customWidth="1" collapsed="1"/>
    <col min="15" max="23" width="9.140625" style="2"/>
    <col min="24" max="16384" width="9.140625" style="2" collapsed="1"/>
  </cols>
  <sheetData>
    <row r="1" spans="1:14" s="5" customFormat="1" x14ac:dyDescent="0.2">
      <c r="A1" s="5" t="s">
        <v>2</v>
      </c>
      <c r="B1" s="5" t="s">
        <v>87</v>
      </c>
      <c r="C1" s="5" t="s">
        <v>16</v>
      </c>
      <c r="D1" s="5" t="s">
        <v>90</v>
      </c>
      <c r="E1" s="5" t="s">
        <v>23</v>
      </c>
      <c r="F1" s="6" t="s">
        <v>15</v>
      </c>
      <c r="G1" s="5" t="s">
        <v>89</v>
      </c>
      <c r="H1" s="8" t="s">
        <v>14</v>
      </c>
      <c r="I1" s="8" t="s">
        <v>228</v>
      </c>
      <c r="J1" s="7" t="s">
        <v>13</v>
      </c>
      <c r="K1" s="7" t="s">
        <v>81</v>
      </c>
      <c r="L1" s="7" t="s">
        <v>84</v>
      </c>
      <c r="M1" s="7" t="s">
        <v>35</v>
      </c>
      <c r="N1" s="7" t="s">
        <v>85</v>
      </c>
    </row>
    <row r="2" spans="1:14" x14ac:dyDescent="0.2">
      <c r="A2" s="2" t="s">
        <v>3</v>
      </c>
      <c r="B2" s="2" t="s">
        <v>88</v>
      </c>
      <c r="C2" s="2" t="s">
        <v>7</v>
      </c>
      <c r="D2" s="2" t="s">
        <v>91</v>
      </c>
      <c r="E2" s="2">
        <v>1</v>
      </c>
      <c r="F2" s="3">
        <v>1</v>
      </c>
      <c r="G2" s="2">
        <v>1</v>
      </c>
      <c r="H2" s="8">
        <v>1</v>
      </c>
      <c r="J2" s="4">
        <v>2</v>
      </c>
      <c r="K2" s="2" t="str">
        <f>IF(H2="","resp-skipped",IF(H2=J2,"resp-correct","resp-inc"))</f>
        <v>resp-inc</v>
      </c>
      <c r="L2" s="2" t="s">
        <v>82</v>
      </c>
      <c r="M2" s="4" t="s">
        <v>36</v>
      </c>
      <c r="N2" s="4" t="s">
        <v>82</v>
      </c>
    </row>
    <row r="3" spans="1:14" x14ac:dyDescent="0.2">
      <c r="A3" s="2" t="s">
        <v>3</v>
      </c>
      <c r="B3" s="2" t="s">
        <v>88</v>
      </c>
      <c r="C3" s="2" t="s">
        <v>7</v>
      </c>
      <c r="D3" s="2" t="s">
        <v>92</v>
      </c>
      <c r="E3" s="2">
        <v>1</v>
      </c>
      <c r="F3" s="3">
        <v>2</v>
      </c>
      <c r="G3" s="2">
        <v>2</v>
      </c>
      <c r="H3" s="8">
        <v>2</v>
      </c>
      <c r="I3" s="8" t="s">
        <v>757</v>
      </c>
      <c r="J3" s="4">
        <v>1</v>
      </c>
      <c r="K3" s="2" t="str">
        <f t="shared" ref="K3:K66" si="0">IF(H3="","resp-skipped",IF(H3=J3,"resp-correct","resp-inc"))</f>
        <v>resp-inc</v>
      </c>
      <c r="L3" s="2" t="s">
        <v>82</v>
      </c>
      <c r="M3" s="4" t="s">
        <v>37</v>
      </c>
      <c r="N3" s="4" t="s">
        <v>82</v>
      </c>
    </row>
    <row r="4" spans="1:14" x14ac:dyDescent="0.2">
      <c r="A4" s="2" t="s">
        <v>3</v>
      </c>
      <c r="B4" s="2" t="s">
        <v>88</v>
      </c>
      <c r="C4" s="2" t="s">
        <v>7</v>
      </c>
      <c r="D4" s="2" t="s">
        <v>93</v>
      </c>
      <c r="E4" s="2">
        <v>1</v>
      </c>
      <c r="F4" s="3">
        <v>3</v>
      </c>
      <c r="G4" s="2">
        <v>3</v>
      </c>
      <c r="H4" s="8">
        <v>1</v>
      </c>
      <c r="J4" s="4">
        <v>3</v>
      </c>
      <c r="K4" s="2" t="str">
        <f t="shared" si="0"/>
        <v>resp-inc</v>
      </c>
      <c r="L4" s="2" t="s">
        <v>82</v>
      </c>
      <c r="M4" s="4" t="s">
        <v>37</v>
      </c>
      <c r="N4" s="4" t="s">
        <v>82</v>
      </c>
    </row>
    <row r="5" spans="1:14" x14ac:dyDescent="0.2">
      <c r="A5" s="2" t="s">
        <v>3</v>
      </c>
      <c r="B5" s="2" t="s">
        <v>88</v>
      </c>
      <c r="C5" s="2" t="s">
        <v>7</v>
      </c>
      <c r="D5" s="2" t="s">
        <v>94</v>
      </c>
      <c r="E5" s="2">
        <v>1</v>
      </c>
      <c r="F5" s="3">
        <v>4</v>
      </c>
      <c r="G5" s="2">
        <v>4</v>
      </c>
      <c r="H5" s="8">
        <v>1</v>
      </c>
      <c r="J5" s="4">
        <v>2</v>
      </c>
      <c r="K5" s="2" t="str">
        <f t="shared" si="0"/>
        <v>resp-inc</v>
      </c>
      <c r="L5" s="2" t="s">
        <v>82</v>
      </c>
      <c r="M5" s="4" t="s">
        <v>37</v>
      </c>
      <c r="N5" s="4" t="s">
        <v>82</v>
      </c>
    </row>
    <row r="6" spans="1:14" x14ac:dyDescent="0.2">
      <c r="A6" s="2" t="s">
        <v>3</v>
      </c>
      <c r="B6" s="2" t="s">
        <v>88</v>
      </c>
      <c r="C6" s="2" t="s">
        <v>7</v>
      </c>
      <c r="D6" s="2" t="s">
        <v>95</v>
      </c>
      <c r="E6" s="2">
        <v>1</v>
      </c>
      <c r="F6" s="3">
        <v>5</v>
      </c>
      <c r="G6" s="2">
        <v>5</v>
      </c>
      <c r="J6" s="4">
        <v>1</v>
      </c>
      <c r="K6" s="2" t="str">
        <f t="shared" si="0"/>
        <v>resp-skipped</v>
      </c>
      <c r="L6" s="2" t="s">
        <v>82</v>
      </c>
      <c r="M6" s="4" t="s">
        <v>37</v>
      </c>
      <c r="N6" s="4" t="s">
        <v>82</v>
      </c>
    </row>
    <row r="7" spans="1:14" x14ac:dyDescent="0.2">
      <c r="A7" s="2" t="s">
        <v>3</v>
      </c>
      <c r="B7" s="2" t="s">
        <v>88</v>
      </c>
      <c r="C7" s="2" t="s">
        <v>8</v>
      </c>
      <c r="D7" s="2" t="s">
        <v>96</v>
      </c>
      <c r="E7" s="2">
        <v>2</v>
      </c>
      <c r="F7" s="3">
        <v>1</v>
      </c>
      <c r="G7" s="2">
        <v>6</v>
      </c>
      <c r="H7" s="8">
        <v>2</v>
      </c>
      <c r="J7" s="4">
        <v>2</v>
      </c>
      <c r="K7" s="2" t="str">
        <f t="shared" si="0"/>
        <v>resp-correct</v>
      </c>
      <c r="L7" s="2" t="s">
        <v>82</v>
      </c>
      <c r="M7" s="4" t="s">
        <v>86</v>
      </c>
      <c r="N7" s="4" t="s">
        <v>82</v>
      </c>
    </row>
    <row r="8" spans="1:14" x14ac:dyDescent="0.2">
      <c r="A8" s="2" t="s">
        <v>3</v>
      </c>
      <c r="B8" s="2" t="s">
        <v>88</v>
      </c>
      <c r="C8" s="2" t="s">
        <v>8</v>
      </c>
      <c r="D8" s="2" t="s">
        <v>97</v>
      </c>
      <c r="E8" s="2">
        <v>2</v>
      </c>
      <c r="F8" s="3">
        <v>2</v>
      </c>
      <c r="G8" s="2">
        <v>7</v>
      </c>
      <c r="H8" s="8">
        <v>2</v>
      </c>
      <c r="J8" s="4">
        <v>4</v>
      </c>
      <c r="K8" s="2" t="str">
        <f t="shared" si="0"/>
        <v>resp-inc</v>
      </c>
      <c r="L8" s="2" t="s">
        <v>82</v>
      </c>
      <c r="M8" s="4" t="s">
        <v>38</v>
      </c>
      <c r="N8" s="4" t="s">
        <v>82</v>
      </c>
    </row>
    <row r="9" spans="1:14" x14ac:dyDescent="0.2">
      <c r="A9" s="2" t="s">
        <v>3</v>
      </c>
      <c r="B9" s="2" t="s">
        <v>88</v>
      </c>
      <c r="C9" s="2" t="s">
        <v>8</v>
      </c>
      <c r="D9" s="2" t="s">
        <v>98</v>
      </c>
      <c r="E9" s="2">
        <v>2</v>
      </c>
      <c r="F9" s="3">
        <v>3</v>
      </c>
      <c r="G9" s="2">
        <v>8</v>
      </c>
      <c r="H9" s="8">
        <v>2</v>
      </c>
      <c r="J9" s="4">
        <v>3</v>
      </c>
      <c r="K9" s="2" t="str">
        <f t="shared" si="0"/>
        <v>resp-inc</v>
      </c>
      <c r="L9" s="2" t="s">
        <v>82</v>
      </c>
      <c r="M9" s="2" t="s">
        <v>39</v>
      </c>
      <c r="N9" s="2" t="s">
        <v>82</v>
      </c>
    </row>
    <row r="10" spans="1:14" x14ac:dyDescent="0.2">
      <c r="A10" s="2" t="s">
        <v>3</v>
      </c>
      <c r="B10" s="2" t="s">
        <v>88</v>
      </c>
      <c r="C10" s="2" t="s">
        <v>8</v>
      </c>
      <c r="D10" s="2" t="s">
        <v>99</v>
      </c>
      <c r="E10" s="2">
        <v>2</v>
      </c>
      <c r="F10" s="3">
        <v>4</v>
      </c>
      <c r="G10" s="2">
        <v>9</v>
      </c>
      <c r="H10" s="8">
        <v>2</v>
      </c>
      <c r="J10" s="4">
        <v>1</v>
      </c>
      <c r="K10" s="2" t="str">
        <f t="shared" si="0"/>
        <v>resp-inc</v>
      </c>
      <c r="L10" s="2" t="s">
        <v>82</v>
      </c>
      <c r="M10" s="2" t="s">
        <v>39</v>
      </c>
      <c r="N10" s="2" t="s">
        <v>82</v>
      </c>
    </row>
    <row r="11" spans="1:14" x14ac:dyDescent="0.2">
      <c r="A11" s="2" t="s">
        <v>3</v>
      </c>
      <c r="B11" s="2" t="s">
        <v>88</v>
      </c>
      <c r="C11" s="2" t="s">
        <v>8</v>
      </c>
      <c r="D11" s="2" t="s">
        <v>100</v>
      </c>
      <c r="E11" s="2">
        <v>2</v>
      </c>
      <c r="F11" s="3">
        <v>5</v>
      </c>
      <c r="G11" s="2">
        <v>10</v>
      </c>
      <c r="H11" s="8">
        <v>2</v>
      </c>
      <c r="J11" s="4">
        <v>3</v>
      </c>
      <c r="K11" s="2" t="str">
        <f t="shared" si="0"/>
        <v>resp-inc</v>
      </c>
      <c r="L11" s="2" t="s">
        <v>82</v>
      </c>
      <c r="M11" s="2" t="s">
        <v>39</v>
      </c>
      <c r="N11" s="2" t="s">
        <v>82</v>
      </c>
    </row>
    <row r="12" spans="1:14" x14ac:dyDescent="0.2">
      <c r="A12" s="2" t="s">
        <v>3</v>
      </c>
      <c r="B12" s="2" t="s">
        <v>88</v>
      </c>
      <c r="C12" s="2" t="s">
        <v>6</v>
      </c>
      <c r="D12" s="2" t="s">
        <v>101</v>
      </c>
      <c r="E12" s="2">
        <v>3</v>
      </c>
      <c r="F12" s="3">
        <v>1</v>
      </c>
      <c r="G12" s="2">
        <v>11</v>
      </c>
      <c r="H12" s="8">
        <v>3</v>
      </c>
      <c r="J12" s="4">
        <v>4</v>
      </c>
      <c r="K12" s="2" t="str">
        <f t="shared" si="0"/>
        <v>resp-inc</v>
      </c>
      <c r="L12" s="2" t="s">
        <v>82</v>
      </c>
      <c r="M12" s="4" t="s">
        <v>40</v>
      </c>
      <c r="N12" s="4" t="s">
        <v>82</v>
      </c>
    </row>
    <row r="13" spans="1:14" x14ac:dyDescent="0.2">
      <c r="A13" s="2" t="s">
        <v>3</v>
      </c>
      <c r="B13" s="2" t="s">
        <v>88</v>
      </c>
      <c r="C13" s="2" t="s">
        <v>6</v>
      </c>
      <c r="D13" s="2" t="s">
        <v>102</v>
      </c>
      <c r="E13" s="2">
        <v>3</v>
      </c>
      <c r="F13" s="3">
        <v>2</v>
      </c>
      <c r="G13" s="2">
        <v>12</v>
      </c>
      <c r="H13" s="8">
        <v>3</v>
      </c>
      <c r="J13" s="4">
        <v>4</v>
      </c>
      <c r="K13" s="2" t="str">
        <f t="shared" si="0"/>
        <v>resp-inc</v>
      </c>
      <c r="L13" s="2" t="s">
        <v>82</v>
      </c>
      <c r="M13" s="4" t="s">
        <v>41</v>
      </c>
      <c r="N13" s="4" t="s">
        <v>82</v>
      </c>
    </row>
    <row r="14" spans="1:14" x14ac:dyDescent="0.2">
      <c r="A14" s="2" t="s">
        <v>3</v>
      </c>
      <c r="B14" s="2" t="s">
        <v>88</v>
      </c>
      <c r="C14" s="2" t="s">
        <v>6</v>
      </c>
      <c r="D14" s="2" t="s">
        <v>103</v>
      </c>
      <c r="E14" s="2">
        <v>3</v>
      </c>
      <c r="F14" s="3">
        <v>3</v>
      </c>
      <c r="G14" s="2">
        <v>13</v>
      </c>
      <c r="H14" s="8">
        <v>3</v>
      </c>
      <c r="J14" s="4">
        <v>2</v>
      </c>
      <c r="K14" s="2" t="str">
        <f t="shared" si="0"/>
        <v>resp-inc</v>
      </c>
      <c r="L14" s="2" t="s">
        <v>82</v>
      </c>
      <c r="M14" s="2" t="s">
        <v>42</v>
      </c>
      <c r="N14" s="2" t="s">
        <v>82</v>
      </c>
    </row>
    <row r="15" spans="1:14" x14ac:dyDescent="0.2">
      <c r="A15" s="2" t="s">
        <v>3</v>
      </c>
      <c r="B15" s="2" t="s">
        <v>88</v>
      </c>
      <c r="C15" s="2" t="s">
        <v>6</v>
      </c>
      <c r="D15" s="2" t="s">
        <v>104</v>
      </c>
      <c r="E15" s="2">
        <v>3</v>
      </c>
      <c r="F15" s="3">
        <v>4</v>
      </c>
      <c r="G15" s="2">
        <v>14</v>
      </c>
      <c r="H15" s="8">
        <v>3</v>
      </c>
      <c r="J15" s="4">
        <v>3</v>
      </c>
      <c r="K15" s="2" t="str">
        <f t="shared" si="0"/>
        <v>resp-correct</v>
      </c>
      <c r="L15" s="2" t="s">
        <v>82</v>
      </c>
      <c r="M15" s="2" t="s">
        <v>43</v>
      </c>
      <c r="N15" s="2" t="s">
        <v>82</v>
      </c>
    </row>
    <row r="16" spans="1:14" x14ac:dyDescent="0.2">
      <c r="A16" s="2" t="s">
        <v>3</v>
      </c>
      <c r="B16" s="2" t="s">
        <v>88</v>
      </c>
      <c r="C16" s="2" t="s">
        <v>9</v>
      </c>
      <c r="D16" s="2" t="s">
        <v>105</v>
      </c>
      <c r="E16" s="2">
        <v>4</v>
      </c>
      <c r="F16" s="3">
        <v>1</v>
      </c>
      <c r="G16" s="2">
        <v>15</v>
      </c>
      <c r="H16" s="8">
        <v>3</v>
      </c>
      <c r="J16" s="4">
        <v>3</v>
      </c>
      <c r="K16" s="2" t="str">
        <f t="shared" si="0"/>
        <v>resp-correct</v>
      </c>
      <c r="L16" s="2" t="s">
        <v>82</v>
      </c>
      <c r="M16" s="4" t="s">
        <v>36</v>
      </c>
      <c r="N16" s="4" t="s">
        <v>82</v>
      </c>
    </row>
    <row r="17" spans="1:14" x14ac:dyDescent="0.2">
      <c r="A17" s="2" t="s">
        <v>3</v>
      </c>
      <c r="B17" s="2" t="s">
        <v>88</v>
      </c>
      <c r="C17" s="2" t="s">
        <v>9</v>
      </c>
      <c r="D17" s="2" t="s">
        <v>106</v>
      </c>
      <c r="E17" s="2">
        <v>4</v>
      </c>
      <c r="F17" s="3">
        <v>2</v>
      </c>
      <c r="G17" s="2">
        <v>16</v>
      </c>
      <c r="H17" s="8">
        <v>3</v>
      </c>
      <c r="J17" s="4">
        <v>1</v>
      </c>
      <c r="K17" s="2" t="str">
        <f t="shared" si="0"/>
        <v>resp-inc</v>
      </c>
      <c r="L17" s="2" t="s">
        <v>82</v>
      </c>
      <c r="M17" s="2" t="s">
        <v>44</v>
      </c>
      <c r="N17" s="2" t="s">
        <v>82</v>
      </c>
    </row>
    <row r="18" spans="1:14" x14ac:dyDescent="0.2">
      <c r="A18" s="2" t="s">
        <v>3</v>
      </c>
      <c r="B18" s="2" t="s">
        <v>88</v>
      </c>
      <c r="C18" s="2" t="s">
        <v>9</v>
      </c>
      <c r="D18" s="2" t="s">
        <v>107</v>
      </c>
      <c r="E18" s="2">
        <v>4</v>
      </c>
      <c r="F18" s="3">
        <v>3</v>
      </c>
      <c r="G18" s="2">
        <v>17</v>
      </c>
      <c r="H18" s="8">
        <v>4</v>
      </c>
      <c r="I18" s="8" t="s">
        <v>758</v>
      </c>
      <c r="J18" s="4">
        <v>4</v>
      </c>
      <c r="K18" s="2" t="str">
        <f t="shared" si="0"/>
        <v>resp-correct</v>
      </c>
      <c r="L18" s="2" t="s">
        <v>82</v>
      </c>
      <c r="M18" s="2" t="s">
        <v>45</v>
      </c>
      <c r="N18" s="2" t="s">
        <v>82</v>
      </c>
    </row>
    <row r="19" spans="1:14" x14ac:dyDescent="0.2">
      <c r="A19" s="2" t="s">
        <v>3</v>
      </c>
      <c r="B19" s="2" t="s">
        <v>88</v>
      </c>
      <c r="C19" s="2" t="s">
        <v>9</v>
      </c>
      <c r="D19" s="2" t="s">
        <v>108</v>
      </c>
      <c r="E19" s="2">
        <v>4</v>
      </c>
      <c r="F19" s="3">
        <v>4</v>
      </c>
      <c r="G19" s="2">
        <v>18</v>
      </c>
      <c r="H19" s="8">
        <v>4</v>
      </c>
      <c r="J19" s="4">
        <v>1</v>
      </c>
      <c r="K19" s="2" t="str">
        <f t="shared" si="0"/>
        <v>resp-inc</v>
      </c>
      <c r="L19" s="2" t="s">
        <v>82</v>
      </c>
      <c r="M19" s="2" t="s">
        <v>44</v>
      </c>
      <c r="N19" s="2" t="s">
        <v>82</v>
      </c>
    </row>
    <row r="20" spans="1:14" x14ac:dyDescent="0.2">
      <c r="A20" s="2" t="s">
        <v>3</v>
      </c>
      <c r="B20" s="2" t="s">
        <v>88</v>
      </c>
      <c r="C20" s="2" t="s">
        <v>10</v>
      </c>
      <c r="D20" s="2" t="s">
        <v>109</v>
      </c>
      <c r="E20" s="2">
        <v>5</v>
      </c>
      <c r="F20" s="3">
        <v>1</v>
      </c>
      <c r="G20" s="2">
        <v>19</v>
      </c>
      <c r="H20" s="8">
        <v>4</v>
      </c>
      <c r="J20" s="4">
        <v>2</v>
      </c>
      <c r="K20" s="2" t="str">
        <f t="shared" si="0"/>
        <v>resp-inc</v>
      </c>
      <c r="L20" s="2" t="s">
        <v>82</v>
      </c>
      <c r="M20" s="2" t="s">
        <v>46</v>
      </c>
      <c r="N20" s="2" t="s">
        <v>82</v>
      </c>
    </row>
    <row r="21" spans="1:14" x14ac:dyDescent="0.2">
      <c r="A21" s="2" t="s">
        <v>3</v>
      </c>
      <c r="B21" s="2" t="s">
        <v>88</v>
      </c>
      <c r="C21" s="2" t="s">
        <v>10</v>
      </c>
      <c r="D21" s="2" t="s">
        <v>110</v>
      </c>
      <c r="E21" s="2">
        <v>5</v>
      </c>
      <c r="F21" s="3">
        <v>2</v>
      </c>
      <c r="G21" s="2">
        <v>20</v>
      </c>
      <c r="H21" s="8">
        <v>4</v>
      </c>
      <c r="J21" s="4">
        <v>4</v>
      </c>
      <c r="K21" s="2" t="str">
        <f t="shared" si="0"/>
        <v>resp-correct</v>
      </c>
      <c r="L21" s="2" t="s">
        <v>82</v>
      </c>
      <c r="M21" s="2" t="s">
        <v>46</v>
      </c>
      <c r="N21" s="2" t="s">
        <v>82</v>
      </c>
    </row>
    <row r="22" spans="1:14" x14ac:dyDescent="0.2">
      <c r="A22" s="2" t="s">
        <v>3</v>
      </c>
      <c r="B22" s="2" t="s">
        <v>88</v>
      </c>
      <c r="C22" s="2" t="s">
        <v>10</v>
      </c>
      <c r="D22" s="2" t="s">
        <v>111</v>
      </c>
      <c r="E22" s="2">
        <v>5</v>
      </c>
      <c r="F22" s="3">
        <v>3</v>
      </c>
      <c r="G22" s="2">
        <v>21</v>
      </c>
      <c r="H22" s="8">
        <v>4</v>
      </c>
      <c r="J22" s="4">
        <v>4</v>
      </c>
      <c r="K22" s="2" t="str">
        <f t="shared" si="0"/>
        <v>resp-correct</v>
      </c>
      <c r="L22" s="2" t="s">
        <v>82</v>
      </c>
      <c r="M22" s="2" t="s">
        <v>46</v>
      </c>
      <c r="N22" s="2" t="s">
        <v>82</v>
      </c>
    </row>
    <row r="23" spans="1:14" x14ac:dyDescent="0.2">
      <c r="A23" s="2" t="s">
        <v>3</v>
      </c>
      <c r="B23" s="2" t="s">
        <v>88</v>
      </c>
      <c r="C23" s="2" t="s">
        <v>10</v>
      </c>
      <c r="D23" s="2" t="s">
        <v>112</v>
      </c>
      <c r="E23" s="2">
        <v>5</v>
      </c>
      <c r="F23" s="3">
        <v>4</v>
      </c>
      <c r="G23" s="2">
        <v>22</v>
      </c>
      <c r="H23" s="8">
        <v>1</v>
      </c>
      <c r="J23" s="4">
        <v>3</v>
      </c>
      <c r="K23" s="2" t="str">
        <f t="shared" si="0"/>
        <v>resp-inc</v>
      </c>
      <c r="L23" s="2" t="s">
        <v>82</v>
      </c>
      <c r="M23" s="2" t="s">
        <v>47</v>
      </c>
      <c r="N23" s="2" t="s">
        <v>82</v>
      </c>
    </row>
    <row r="24" spans="1:14" x14ac:dyDescent="0.2">
      <c r="A24" s="2" t="s">
        <v>3</v>
      </c>
      <c r="B24" s="2" t="s">
        <v>88</v>
      </c>
      <c r="C24" s="2" t="s">
        <v>10</v>
      </c>
      <c r="D24" s="2" t="s">
        <v>113</v>
      </c>
      <c r="E24" s="2">
        <v>5</v>
      </c>
      <c r="F24" s="3">
        <v>5</v>
      </c>
      <c r="G24" s="2">
        <v>23</v>
      </c>
      <c r="H24" s="8">
        <v>1</v>
      </c>
      <c r="J24" s="4">
        <v>2</v>
      </c>
      <c r="K24" s="2" t="str">
        <f t="shared" si="0"/>
        <v>resp-inc</v>
      </c>
      <c r="L24" s="2" t="s">
        <v>82</v>
      </c>
      <c r="M24" s="2" t="s">
        <v>46</v>
      </c>
      <c r="N24" s="2" t="s">
        <v>82</v>
      </c>
    </row>
    <row r="25" spans="1:14" x14ac:dyDescent="0.2">
      <c r="A25" s="2" t="s">
        <v>3</v>
      </c>
      <c r="B25" s="2" t="s">
        <v>88</v>
      </c>
      <c r="C25" s="2" t="s">
        <v>6</v>
      </c>
      <c r="D25" s="2" t="s">
        <v>114</v>
      </c>
      <c r="E25" s="2">
        <v>6</v>
      </c>
      <c r="F25" s="3">
        <v>1</v>
      </c>
      <c r="G25" s="2">
        <v>24</v>
      </c>
      <c r="H25" s="8">
        <v>1</v>
      </c>
      <c r="J25" s="4">
        <v>3</v>
      </c>
      <c r="K25" s="2" t="str">
        <f t="shared" si="0"/>
        <v>resp-inc</v>
      </c>
      <c r="L25" s="2" t="s">
        <v>82</v>
      </c>
      <c r="M25" s="2" t="s">
        <v>48</v>
      </c>
      <c r="N25" s="2" t="s">
        <v>82</v>
      </c>
    </row>
    <row r="26" spans="1:14" x14ac:dyDescent="0.2">
      <c r="A26" s="2" t="s">
        <v>3</v>
      </c>
      <c r="B26" s="2" t="s">
        <v>88</v>
      </c>
      <c r="C26" s="2" t="s">
        <v>6</v>
      </c>
      <c r="D26" s="2" t="s">
        <v>115</v>
      </c>
      <c r="E26" s="2">
        <v>6</v>
      </c>
      <c r="F26" s="3">
        <v>2</v>
      </c>
      <c r="G26" s="2">
        <v>25</v>
      </c>
      <c r="H26" s="8">
        <v>1</v>
      </c>
      <c r="J26" s="4">
        <v>4</v>
      </c>
      <c r="K26" s="2" t="str">
        <f t="shared" si="0"/>
        <v>resp-inc</v>
      </c>
      <c r="L26" s="2" t="s">
        <v>82</v>
      </c>
      <c r="M26" s="2" t="s">
        <v>41</v>
      </c>
      <c r="N26" s="2" t="s">
        <v>82</v>
      </c>
    </row>
    <row r="27" spans="1:14" x14ac:dyDescent="0.2">
      <c r="A27" s="2" t="s">
        <v>3</v>
      </c>
      <c r="B27" s="2" t="s">
        <v>88</v>
      </c>
      <c r="C27" s="2" t="s">
        <v>6</v>
      </c>
      <c r="D27" s="2" t="s">
        <v>116</v>
      </c>
      <c r="E27" s="2">
        <v>6</v>
      </c>
      <c r="F27" s="3">
        <v>3</v>
      </c>
      <c r="G27" s="2">
        <v>26</v>
      </c>
      <c r="H27" s="8">
        <v>2</v>
      </c>
      <c r="J27" s="4">
        <v>4</v>
      </c>
      <c r="K27" s="2" t="str">
        <f t="shared" si="0"/>
        <v>resp-inc</v>
      </c>
      <c r="L27" s="2" t="s">
        <v>82</v>
      </c>
      <c r="M27" s="2" t="s">
        <v>43</v>
      </c>
      <c r="N27" s="2" t="s">
        <v>82</v>
      </c>
    </row>
    <row r="28" spans="1:14" x14ac:dyDescent="0.2">
      <c r="A28" s="2" t="s">
        <v>3</v>
      </c>
      <c r="B28" s="2" t="s">
        <v>88</v>
      </c>
      <c r="C28" s="2" t="s">
        <v>6</v>
      </c>
      <c r="D28" s="2" t="s">
        <v>117</v>
      </c>
      <c r="E28" s="2">
        <v>6</v>
      </c>
      <c r="F28" s="3">
        <v>4</v>
      </c>
      <c r="G28" s="2">
        <v>27</v>
      </c>
      <c r="H28" s="8">
        <v>2</v>
      </c>
      <c r="J28" s="4">
        <v>4</v>
      </c>
      <c r="K28" s="2" t="str">
        <f t="shared" si="0"/>
        <v>resp-inc</v>
      </c>
      <c r="L28" s="2" t="s">
        <v>82</v>
      </c>
      <c r="M28" s="2" t="s">
        <v>42</v>
      </c>
      <c r="N28" s="2" t="s">
        <v>82</v>
      </c>
    </row>
    <row r="29" spans="1:14" x14ac:dyDescent="0.2">
      <c r="A29" s="2" t="s">
        <v>3</v>
      </c>
      <c r="B29" s="2" t="s">
        <v>88</v>
      </c>
      <c r="C29" s="2" t="s">
        <v>11</v>
      </c>
      <c r="D29" s="2" t="s">
        <v>118</v>
      </c>
      <c r="E29" s="2">
        <v>7</v>
      </c>
      <c r="F29" s="3">
        <v>1</v>
      </c>
      <c r="G29" s="2">
        <v>28</v>
      </c>
      <c r="H29" s="8">
        <v>2</v>
      </c>
      <c r="J29" s="4">
        <v>1</v>
      </c>
      <c r="K29" s="2" t="str">
        <f t="shared" si="0"/>
        <v>resp-inc</v>
      </c>
      <c r="L29" s="2" t="s">
        <v>82</v>
      </c>
      <c r="M29" s="2" t="s">
        <v>49</v>
      </c>
      <c r="N29" s="2" t="s">
        <v>82</v>
      </c>
    </row>
    <row r="30" spans="1:14" x14ac:dyDescent="0.2">
      <c r="A30" s="2" t="s">
        <v>3</v>
      </c>
      <c r="B30" s="2" t="s">
        <v>88</v>
      </c>
      <c r="C30" s="2" t="s">
        <v>11</v>
      </c>
      <c r="D30" s="2" t="s">
        <v>119</v>
      </c>
      <c r="E30" s="2">
        <v>7</v>
      </c>
      <c r="F30" s="3">
        <v>2</v>
      </c>
      <c r="G30" s="2">
        <v>29</v>
      </c>
      <c r="H30" s="8">
        <v>2</v>
      </c>
      <c r="J30" s="4">
        <v>4</v>
      </c>
      <c r="K30" s="2" t="str">
        <f t="shared" si="0"/>
        <v>resp-inc</v>
      </c>
      <c r="L30" s="2" t="s">
        <v>82</v>
      </c>
      <c r="M30" s="2" t="s">
        <v>49</v>
      </c>
      <c r="N30" s="2" t="s">
        <v>82</v>
      </c>
    </row>
    <row r="31" spans="1:14" x14ac:dyDescent="0.2">
      <c r="A31" s="2" t="s">
        <v>3</v>
      </c>
      <c r="B31" s="2" t="s">
        <v>88</v>
      </c>
      <c r="C31" s="2" t="s">
        <v>11</v>
      </c>
      <c r="D31" s="2" t="s">
        <v>120</v>
      </c>
      <c r="E31" s="2">
        <v>7</v>
      </c>
      <c r="F31" s="3">
        <v>3</v>
      </c>
      <c r="G31" s="2">
        <v>30</v>
      </c>
      <c r="H31" s="8">
        <v>2</v>
      </c>
      <c r="J31" s="4">
        <v>3</v>
      </c>
      <c r="K31" s="2" t="str">
        <f t="shared" si="0"/>
        <v>resp-inc</v>
      </c>
      <c r="L31" s="2" t="s">
        <v>82</v>
      </c>
      <c r="M31" s="2" t="s">
        <v>49</v>
      </c>
      <c r="N31" s="2" t="s">
        <v>82</v>
      </c>
    </row>
    <row r="32" spans="1:14" x14ac:dyDescent="0.2">
      <c r="A32" s="2" t="s">
        <v>3</v>
      </c>
      <c r="B32" s="2" t="s">
        <v>88</v>
      </c>
      <c r="C32" s="2" t="s">
        <v>11</v>
      </c>
      <c r="D32" s="2" t="s">
        <v>121</v>
      </c>
      <c r="E32" s="2">
        <v>7</v>
      </c>
      <c r="F32" s="3">
        <v>4</v>
      </c>
      <c r="G32" s="2">
        <v>31</v>
      </c>
      <c r="H32" s="8">
        <v>1</v>
      </c>
      <c r="J32" s="4">
        <v>4</v>
      </c>
      <c r="K32" s="2" t="str">
        <f t="shared" si="0"/>
        <v>resp-inc</v>
      </c>
      <c r="L32" s="2" t="s">
        <v>82</v>
      </c>
      <c r="M32" s="2" t="s">
        <v>50</v>
      </c>
      <c r="N32" s="2" t="s">
        <v>82</v>
      </c>
    </row>
    <row r="33" spans="1:14" x14ac:dyDescent="0.2">
      <c r="A33" s="2" t="s">
        <v>3</v>
      </c>
      <c r="B33" s="2" t="s">
        <v>88</v>
      </c>
      <c r="C33" s="2" t="s">
        <v>11</v>
      </c>
      <c r="D33" s="2" t="s">
        <v>122</v>
      </c>
      <c r="E33" s="2">
        <v>7</v>
      </c>
      <c r="F33" s="3">
        <v>5</v>
      </c>
      <c r="G33" s="2">
        <v>32</v>
      </c>
      <c r="H33" s="8">
        <v>2</v>
      </c>
      <c r="J33" s="4">
        <v>3</v>
      </c>
      <c r="K33" s="2" t="str">
        <f t="shared" si="0"/>
        <v>resp-inc</v>
      </c>
      <c r="L33" s="2" t="s">
        <v>82</v>
      </c>
      <c r="M33" s="2" t="s">
        <v>49</v>
      </c>
      <c r="N33" s="2" t="s">
        <v>82</v>
      </c>
    </row>
    <row r="34" spans="1:14" x14ac:dyDescent="0.2">
      <c r="A34" s="2" t="s">
        <v>3</v>
      </c>
      <c r="B34" s="2" t="s">
        <v>88</v>
      </c>
      <c r="C34" s="2" t="s">
        <v>11</v>
      </c>
      <c r="D34" s="2" t="s">
        <v>123</v>
      </c>
      <c r="E34" s="2">
        <v>7</v>
      </c>
      <c r="F34" s="3">
        <v>6</v>
      </c>
      <c r="G34" s="2">
        <v>33</v>
      </c>
      <c r="H34" s="8">
        <v>1</v>
      </c>
      <c r="J34" s="4">
        <v>2</v>
      </c>
      <c r="K34" s="2" t="str">
        <f t="shared" si="0"/>
        <v>resp-inc</v>
      </c>
      <c r="L34" s="2" t="s">
        <v>82</v>
      </c>
      <c r="M34" s="2" t="s">
        <v>49</v>
      </c>
      <c r="N34" s="2" t="s">
        <v>82</v>
      </c>
    </row>
    <row r="35" spans="1:14" x14ac:dyDescent="0.2">
      <c r="A35" s="2" t="s">
        <v>3</v>
      </c>
      <c r="B35" s="2" t="s">
        <v>88</v>
      </c>
      <c r="C35" s="2" t="s">
        <v>11</v>
      </c>
      <c r="D35" s="2" t="s">
        <v>124</v>
      </c>
      <c r="E35" s="2">
        <v>7</v>
      </c>
      <c r="F35" s="3">
        <v>7</v>
      </c>
      <c r="G35" s="2">
        <v>34</v>
      </c>
      <c r="H35" s="8">
        <v>1</v>
      </c>
      <c r="J35" s="4">
        <v>2</v>
      </c>
      <c r="K35" s="2" t="str">
        <f t="shared" si="0"/>
        <v>resp-inc</v>
      </c>
      <c r="L35" s="2" t="s">
        <v>82</v>
      </c>
      <c r="M35" s="2" t="s">
        <v>49</v>
      </c>
      <c r="N35" s="2" t="s">
        <v>82</v>
      </c>
    </row>
    <row r="36" spans="1:14" x14ac:dyDescent="0.2">
      <c r="A36" s="2" t="s">
        <v>3</v>
      </c>
      <c r="B36" s="2" t="s">
        <v>88</v>
      </c>
      <c r="C36" s="2" t="s">
        <v>12</v>
      </c>
      <c r="D36" s="2" t="s">
        <v>125</v>
      </c>
      <c r="E36" s="2">
        <v>8</v>
      </c>
      <c r="F36" s="3">
        <v>1</v>
      </c>
      <c r="G36" s="2">
        <v>35</v>
      </c>
      <c r="H36" s="8">
        <v>2</v>
      </c>
      <c r="J36" s="4">
        <v>1</v>
      </c>
      <c r="K36" s="2" t="str">
        <f t="shared" si="0"/>
        <v>resp-inc</v>
      </c>
      <c r="L36" s="2" t="s">
        <v>82</v>
      </c>
      <c r="M36" s="2" t="s">
        <v>51</v>
      </c>
      <c r="N36" s="2" t="s">
        <v>82</v>
      </c>
    </row>
    <row r="37" spans="1:14" x14ac:dyDescent="0.2">
      <c r="A37" s="2" t="s">
        <v>3</v>
      </c>
      <c r="B37" s="2" t="s">
        <v>88</v>
      </c>
      <c r="C37" s="2" t="s">
        <v>12</v>
      </c>
      <c r="D37" s="2" t="s">
        <v>126</v>
      </c>
      <c r="E37" s="2">
        <v>8</v>
      </c>
      <c r="F37" s="3">
        <v>2</v>
      </c>
      <c r="G37" s="2">
        <v>36</v>
      </c>
      <c r="H37" s="8">
        <v>2</v>
      </c>
      <c r="J37" s="4">
        <v>4</v>
      </c>
      <c r="K37" s="2" t="str">
        <f t="shared" si="0"/>
        <v>resp-inc</v>
      </c>
      <c r="L37" s="2" t="s">
        <v>82</v>
      </c>
      <c r="M37" s="2" t="s">
        <v>51</v>
      </c>
      <c r="N37" s="2" t="s">
        <v>82</v>
      </c>
    </row>
    <row r="38" spans="1:14" x14ac:dyDescent="0.2">
      <c r="A38" s="2" t="s">
        <v>3</v>
      </c>
      <c r="B38" s="2" t="s">
        <v>88</v>
      </c>
      <c r="C38" s="2" t="s">
        <v>12</v>
      </c>
      <c r="D38" s="2" t="s">
        <v>127</v>
      </c>
      <c r="E38" s="2">
        <v>8</v>
      </c>
      <c r="F38" s="3">
        <v>3</v>
      </c>
      <c r="G38" s="2">
        <v>37</v>
      </c>
      <c r="H38" s="8">
        <v>2</v>
      </c>
      <c r="J38" s="4">
        <v>4</v>
      </c>
      <c r="K38" s="2" t="str">
        <f t="shared" si="0"/>
        <v>resp-inc</v>
      </c>
      <c r="L38" s="2" t="s">
        <v>82</v>
      </c>
      <c r="M38" s="2" t="s">
        <v>51</v>
      </c>
      <c r="N38" s="2" t="s">
        <v>82</v>
      </c>
    </row>
    <row r="39" spans="1:14" x14ac:dyDescent="0.2">
      <c r="A39" s="2" t="s">
        <v>3</v>
      </c>
      <c r="B39" s="2" t="s">
        <v>88</v>
      </c>
      <c r="C39" s="2" t="s">
        <v>12</v>
      </c>
      <c r="D39" s="2" t="s">
        <v>128</v>
      </c>
      <c r="E39" s="2">
        <v>8</v>
      </c>
      <c r="F39" s="3">
        <v>4</v>
      </c>
      <c r="G39" s="2">
        <v>38</v>
      </c>
      <c r="H39" s="8">
        <v>2</v>
      </c>
      <c r="J39" s="4">
        <v>1</v>
      </c>
      <c r="K39" s="2" t="str">
        <f t="shared" si="0"/>
        <v>resp-inc</v>
      </c>
      <c r="L39" s="2" t="s">
        <v>82</v>
      </c>
      <c r="M39" s="2" t="s">
        <v>51</v>
      </c>
      <c r="N39" s="2" t="s">
        <v>82</v>
      </c>
    </row>
    <row r="40" spans="1:14" x14ac:dyDescent="0.2">
      <c r="A40" s="2" t="s">
        <v>3</v>
      </c>
      <c r="B40" s="2" t="s">
        <v>88</v>
      </c>
      <c r="C40" s="2" t="s">
        <v>12</v>
      </c>
      <c r="D40" s="2" t="s">
        <v>129</v>
      </c>
      <c r="E40" s="2">
        <v>8</v>
      </c>
      <c r="F40" s="3">
        <v>5</v>
      </c>
      <c r="G40" s="2">
        <v>39</v>
      </c>
      <c r="H40" s="8">
        <v>2</v>
      </c>
      <c r="J40" s="4">
        <v>4</v>
      </c>
      <c r="K40" s="2" t="str">
        <f t="shared" si="0"/>
        <v>resp-inc</v>
      </c>
      <c r="L40" s="2" t="s">
        <v>82</v>
      </c>
      <c r="M40" s="2" t="s">
        <v>43</v>
      </c>
      <c r="N40" s="2" t="s">
        <v>82</v>
      </c>
    </row>
    <row r="41" spans="1:14" x14ac:dyDescent="0.2">
      <c r="A41" s="2" t="s">
        <v>4</v>
      </c>
      <c r="B41" s="2" t="s">
        <v>130</v>
      </c>
      <c r="C41" s="2" t="s">
        <v>7</v>
      </c>
      <c r="D41" s="2" t="s">
        <v>131</v>
      </c>
      <c r="E41" s="2">
        <v>1</v>
      </c>
      <c r="F41" s="3">
        <v>1</v>
      </c>
      <c r="G41" s="2">
        <v>1</v>
      </c>
      <c r="H41" s="8">
        <v>2</v>
      </c>
      <c r="J41" s="4">
        <v>3</v>
      </c>
      <c r="K41" s="2" t="str">
        <f t="shared" si="0"/>
        <v>resp-inc</v>
      </c>
      <c r="L41" s="2" t="s">
        <v>82</v>
      </c>
      <c r="M41" s="2" t="s">
        <v>52</v>
      </c>
      <c r="N41" s="2" t="s">
        <v>82</v>
      </c>
    </row>
    <row r="42" spans="1:14" x14ac:dyDescent="0.2">
      <c r="A42" s="2" t="s">
        <v>4</v>
      </c>
      <c r="B42" s="2" t="s">
        <v>130</v>
      </c>
      <c r="C42" s="2" t="s">
        <v>7</v>
      </c>
      <c r="D42" s="2" t="s">
        <v>132</v>
      </c>
      <c r="E42" s="2">
        <v>1</v>
      </c>
      <c r="F42" s="3">
        <v>2</v>
      </c>
      <c r="G42" s="2">
        <v>2</v>
      </c>
      <c r="H42" s="8">
        <v>3</v>
      </c>
      <c r="J42" s="4">
        <v>4</v>
      </c>
      <c r="K42" s="2" t="str">
        <f t="shared" si="0"/>
        <v>resp-inc</v>
      </c>
      <c r="L42" s="2" t="s">
        <v>82</v>
      </c>
      <c r="M42" s="2" t="s">
        <v>53</v>
      </c>
      <c r="N42" s="2" t="s">
        <v>82</v>
      </c>
    </row>
    <row r="43" spans="1:14" x14ac:dyDescent="0.2">
      <c r="A43" s="2" t="s">
        <v>4</v>
      </c>
      <c r="B43" s="2" t="s">
        <v>130</v>
      </c>
      <c r="C43" s="2" t="s">
        <v>7</v>
      </c>
      <c r="D43" s="2" t="s">
        <v>133</v>
      </c>
      <c r="E43" s="2">
        <v>1</v>
      </c>
      <c r="F43" s="3">
        <v>3</v>
      </c>
      <c r="G43" s="2">
        <v>3</v>
      </c>
      <c r="H43" s="8">
        <v>3</v>
      </c>
      <c r="J43" s="4">
        <v>1</v>
      </c>
      <c r="K43" s="2" t="str">
        <f t="shared" si="0"/>
        <v>resp-inc</v>
      </c>
      <c r="L43" s="2" t="s">
        <v>82</v>
      </c>
      <c r="M43" s="2" t="s">
        <v>53</v>
      </c>
      <c r="N43" s="2" t="s">
        <v>82</v>
      </c>
    </row>
    <row r="44" spans="1:14" x14ac:dyDescent="0.2">
      <c r="A44" s="2" t="s">
        <v>4</v>
      </c>
      <c r="B44" s="2" t="s">
        <v>130</v>
      </c>
      <c r="C44" s="2" t="s">
        <v>7</v>
      </c>
      <c r="D44" s="2" t="s">
        <v>134</v>
      </c>
      <c r="E44" s="2">
        <v>1</v>
      </c>
      <c r="F44" s="3">
        <v>4</v>
      </c>
      <c r="G44" s="2">
        <v>4</v>
      </c>
      <c r="H44" s="8">
        <v>3</v>
      </c>
      <c r="J44" s="4">
        <v>2</v>
      </c>
      <c r="K44" s="2" t="str">
        <f t="shared" si="0"/>
        <v>resp-inc</v>
      </c>
      <c r="L44" s="2" t="s">
        <v>82</v>
      </c>
      <c r="M44" s="2" t="s">
        <v>53</v>
      </c>
      <c r="N44" s="2" t="s">
        <v>82</v>
      </c>
    </row>
    <row r="45" spans="1:14" x14ac:dyDescent="0.2">
      <c r="A45" s="2" t="s">
        <v>4</v>
      </c>
      <c r="B45" s="2" t="s">
        <v>130</v>
      </c>
      <c r="C45" s="2" t="s">
        <v>7</v>
      </c>
      <c r="D45" s="2" t="s">
        <v>135</v>
      </c>
      <c r="E45" s="2">
        <v>1</v>
      </c>
      <c r="F45" s="3">
        <v>5</v>
      </c>
      <c r="G45" s="2">
        <v>5</v>
      </c>
      <c r="H45" s="8">
        <v>3</v>
      </c>
      <c r="J45" s="4">
        <v>2</v>
      </c>
      <c r="K45" s="2" t="str">
        <f t="shared" si="0"/>
        <v>resp-inc</v>
      </c>
      <c r="L45" s="2" t="s">
        <v>82</v>
      </c>
      <c r="M45" s="2" t="s">
        <v>54</v>
      </c>
      <c r="N45" s="2" t="s">
        <v>82</v>
      </c>
    </row>
    <row r="46" spans="1:14" x14ac:dyDescent="0.2">
      <c r="A46" s="2" t="s">
        <v>4</v>
      </c>
      <c r="B46" s="2" t="s">
        <v>130</v>
      </c>
      <c r="C46" s="2" t="s">
        <v>7</v>
      </c>
      <c r="D46" s="2" t="s">
        <v>136</v>
      </c>
      <c r="E46" s="2">
        <v>1</v>
      </c>
      <c r="F46" s="3">
        <v>6</v>
      </c>
      <c r="G46" s="2">
        <v>6</v>
      </c>
      <c r="H46" s="8">
        <v>3</v>
      </c>
      <c r="J46" s="4">
        <v>2</v>
      </c>
      <c r="K46" s="2" t="str">
        <f t="shared" si="0"/>
        <v>resp-inc</v>
      </c>
      <c r="L46" s="2" t="s">
        <v>82</v>
      </c>
      <c r="M46" s="2" t="s">
        <v>53</v>
      </c>
      <c r="N46" s="2" t="s">
        <v>82</v>
      </c>
    </row>
    <row r="47" spans="1:14" x14ac:dyDescent="0.2">
      <c r="A47" s="2" t="s">
        <v>4</v>
      </c>
      <c r="B47" s="2" t="s">
        <v>130</v>
      </c>
      <c r="C47" s="2" t="s">
        <v>7</v>
      </c>
      <c r="D47" s="2" t="s">
        <v>137</v>
      </c>
      <c r="E47" s="2">
        <v>1</v>
      </c>
      <c r="F47" s="3">
        <v>7</v>
      </c>
      <c r="G47" s="2">
        <v>7</v>
      </c>
      <c r="H47" s="8">
        <v>3</v>
      </c>
      <c r="J47" s="4">
        <v>1</v>
      </c>
      <c r="K47" s="2" t="str">
        <f t="shared" si="0"/>
        <v>resp-inc</v>
      </c>
      <c r="L47" s="2" t="s">
        <v>82</v>
      </c>
      <c r="M47" s="2" t="s">
        <v>53</v>
      </c>
      <c r="N47" s="2" t="s">
        <v>82</v>
      </c>
    </row>
    <row r="48" spans="1:14" x14ac:dyDescent="0.2">
      <c r="A48" s="2" t="s">
        <v>4</v>
      </c>
      <c r="B48" s="2" t="s">
        <v>130</v>
      </c>
      <c r="C48" s="2" t="s">
        <v>7</v>
      </c>
      <c r="D48" s="2" t="s">
        <v>138</v>
      </c>
      <c r="E48" s="2">
        <v>1</v>
      </c>
      <c r="F48" s="3">
        <v>8</v>
      </c>
      <c r="G48" s="2">
        <v>8</v>
      </c>
      <c r="H48" s="8">
        <v>4</v>
      </c>
      <c r="J48" s="4">
        <v>4</v>
      </c>
      <c r="K48" s="2" t="str">
        <f t="shared" si="0"/>
        <v>resp-correct</v>
      </c>
      <c r="L48" s="2" t="s">
        <v>82</v>
      </c>
      <c r="M48" s="2" t="s">
        <v>53</v>
      </c>
      <c r="N48" s="2" t="s">
        <v>82</v>
      </c>
    </row>
    <row r="49" spans="1:14" x14ac:dyDescent="0.2">
      <c r="A49" s="2" t="s">
        <v>4</v>
      </c>
      <c r="B49" s="2" t="s">
        <v>130</v>
      </c>
      <c r="C49" s="2" t="s">
        <v>8</v>
      </c>
      <c r="D49" s="2" t="s">
        <v>139</v>
      </c>
      <c r="E49" s="2">
        <v>2</v>
      </c>
      <c r="F49" s="3">
        <v>1</v>
      </c>
      <c r="G49" s="2">
        <v>9</v>
      </c>
      <c r="H49" s="8">
        <v>4</v>
      </c>
      <c r="J49" s="4">
        <v>3</v>
      </c>
      <c r="K49" s="2" t="str">
        <f t="shared" si="0"/>
        <v>resp-inc</v>
      </c>
      <c r="L49" s="2" t="s">
        <v>82</v>
      </c>
      <c r="M49" s="2" t="s">
        <v>54</v>
      </c>
      <c r="N49" s="2" t="s">
        <v>82</v>
      </c>
    </row>
    <row r="50" spans="1:14" x14ac:dyDescent="0.2">
      <c r="A50" s="2" t="s">
        <v>4</v>
      </c>
      <c r="B50" s="2" t="s">
        <v>130</v>
      </c>
      <c r="C50" s="2" t="s">
        <v>8</v>
      </c>
      <c r="D50" s="2" t="s">
        <v>140</v>
      </c>
      <c r="E50" s="2">
        <v>2</v>
      </c>
      <c r="F50" s="3">
        <v>2</v>
      </c>
      <c r="G50" s="2">
        <v>10</v>
      </c>
      <c r="H50" s="8">
        <v>4</v>
      </c>
      <c r="J50" s="4">
        <v>2</v>
      </c>
      <c r="K50" s="2" t="str">
        <f t="shared" si="0"/>
        <v>resp-inc</v>
      </c>
      <c r="L50" s="2" t="s">
        <v>82</v>
      </c>
      <c r="M50" s="2" t="s">
        <v>52</v>
      </c>
      <c r="N50" s="2" t="s">
        <v>82</v>
      </c>
    </row>
    <row r="51" spans="1:14" x14ac:dyDescent="0.2">
      <c r="A51" s="2" t="s">
        <v>4</v>
      </c>
      <c r="B51" s="2" t="s">
        <v>130</v>
      </c>
      <c r="C51" s="2" t="s">
        <v>8</v>
      </c>
      <c r="D51" s="2" t="s">
        <v>141</v>
      </c>
      <c r="E51" s="2">
        <v>2</v>
      </c>
      <c r="F51" s="3">
        <v>3</v>
      </c>
      <c r="G51" s="2">
        <v>11</v>
      </c>
      <c r="H51" s="8">
        <v>4</v>
      </c>
      <c r="J51" s="4">
        <v>3</v>
      </c>
      <c r="K51" s="2" t="str">
        <f t="shared" si="0"/>
        <v>resp-inc</v>
      </c>
      <c r="L51" s="2" t="s">
        <v>82</v>
      </c>
      <c r="M51" s="4" t="s">
        <v>55</v>
      </c>
      <c r="N51" s="4" t="s">
        <v>82</v>
      </c>
    </row>
    <row r="52" spans="1:14" x14ac:dyDescent="0.2">
      <c r="A52" s="2" t="s">
        <v>4</v>
      </c>
      <c r="B52" s="2" t="s">
        <v>130</v>
      </c>
      <c r="C52" s="2" t="s">
        <v>8</v>
      </c>
      <c r="D52" s="2" t="s">
        <v>142</v>
      </c>
      <c r="E52" s="2">
        <v>2</v>
      </c>
      <c r="F52" s="3">
        <v>4</v>
      </c>
      <c r="G52" s="2">
        <v>12</v>
      </c>
      <c r="H52" s="8">
        <v>4</v>
      </c>
      <c r="J52" s="4">
        <v>1</v>
      </c>
      <c r="K52" s="2" t="str">
        <f t="shared" si="0"/>
        <v>resp-inc</v>
      </c>
      <c r="L52" s="2" t="s">
        <v>82</v>
      </c>
      <c r="M52" s="2" t="s">
        <v>53</v>
      </c>
      <c r="N52" s="2" t="s">
        <v>82</v>
      </c>
    </row>
    <row r="53" spans="1:14" x14ac:dyDescent="0.2">
      <c r="A53" s="2" t="s">
        <v>4</v>
      </c>
      <c r="B53" s="2" t="s">
        <v>130</v>
      </c>
      <c r="C53" s="2" t="s">
        <v>8</v>
      </c>
      <c r="D53" s="2" t="s">
        <v>143</v>
      </c>
      <c r="E53" s="2">
        <v>2</v>
      </c>
      <c r="F53" s="3">
        <v>5</v>
      </c>
      <c r="G53" s="2">
        <v>13</v>
      </c>
      <c r="H53" s="8">
        <v>1</v>
      </c>
      <c r="J53" s="4">
        <v>2</v>
      </c>
      <c r="K53" s="2" t="str">
        <f t="shared" si="0"/>
        <v>resp-inc</v>
      </c>
      <c r="L53" s="2" t="s">
        <v>82</v>
      </c>
      <c r="M53" s="2" t="s">
        <v>53</v>
      </c>
      <c r="N53" s="2" t="s">
        <v>82</v>
      </c>
    </row>
    <row r="54" spans="1:14" x14ac:dyDescent="0.2">
      <c r="A54" s="2" t="s">
        <v>4</v>
      </c>
      <c r="B54" s="2" t="s">
        <v>130</v>
      </c>
      <c r="C54" s="2" t="s">
        <v>8</v>
      </c>
      <c r="D54" s="2" t="s">
        <v>144</v>
      </c>
      <c r="E54" s="2">
        <v>2</v>
      </c>
      <c r="F54" s="3">
        <v>6</v>
      </c>
      <c r="G54" s="2">
        <v>14</v>
      </c>
      <c r="H54" s="8">
        <v>1</v>
      </c>
      <c r="J54" s="4">
        <v>4</v>
      </c>
      <c r="K54" s="2" t="str">
        <f t="shared" si="0"/>
        <v>resp-inc</v>
      </c>
      <c r="L54" s="2" t="s">
        <v>82</v>
      </c>
      <c r="M54" s="2" t="s">
        <v>55</v>
      </c>
      <c r="N54" s="2" t="s">
        <v>82</v>
      </c>
    </row>
    <row r="55" spans="1:14" x14ac:dyDescent="0.2">
      <c r="A55" s="2" t="s">
        <v>4</v>
      </c>
      <c r="B55" s="2" t="s">
        <v>130</v>
      </c>
      <c r="C55" s="2" t="s">
        <v>8</v>
      </c>
      <c r="D55" s="2" t="s">
        <v>145</v>
      </c>
      <c r="E55" s="2">
        <v>2</v>
      </c>
      <c r="F55" s="3">
        <v>7</v>
      </c>
      <c r="G55" s="2">
        <v>15</v>
      </c>
      <c r="H55" s="8">
        <v>1</v>
      </c>
      <c r="J55" s="4">
        <v>1</v>
      </c>
      <c r="K55" s="2" t="str">
        <f t="shared" si="0"/>
        <v>resp-correct</v>
      </c>
      <c r="L55" s="2" t="s">
        <v>82</v>
      </c>
      <c r="M55" s="2" t="s">
        <v>56</v>
      </c>
      <c r="N55" s="2" t="s">
        <v>82</v>
      </c>
    </row>
    <row r="56" spans="1:14" x14ac:dyDescent="0.2">
      <c r="A56" s="2" t="s">
        <v>4</v>
      </c>
      <c r="B56" s="2" t="s">
        <v>130</v>
      </c>
      <c r="C56" s="2" t="s">
        <v>8</v>
      </c>
      <c r="D56" s="2" t="s">
        <v>146</v>
      </c>
      <c r="E56" s="2">
        <v>2</v>
      </c>
      <c r="F56" s="3">
        <v>8</v>
      </c>
      <c r="G56" s="2">
        <v>16</v>
      </c>
      <c r="H56" s="8">
        <v>1</v>
      </c>
      <c r="J56" s="4">
        <v>4</v>
      </c>
      <c r="K56" s="2" t="str">
        <f t="shared" si="0"/>
        <v>resp-inc</v>
      </c>
      <c r="L56" s="2" t="s">
        <v>82</v>
      </c>
      <c r="M56" s="2" t="s">
        <v>52</v>
      </c>
      <c r="N56" s="2" t="s">
        <v>82</v>
      </c>
    </row>
    <row r="57" spans="1:14" x14ac:dyDescent="0.2">
      <c r="A57" s="2" t="s">
        <v>4</v>
      </c>
      <c r="B57" s="2" t="s">
        <v>130</v>
      </c>
      <c r="C57" s="2" t="s">
        <v>8</v>
      </c>
      <c r="D57" s="2" t="s">
        <v>147</v>
      </c>
      <c r="E57" s="2">
        <v>2</v>
      </c>
      <c r="F57" s="3">
        <v>9</v>
      </c>
      <c r="G57" s="2">
        <v>17</v>
      </c>
      <c r="H57" s="8">
        <v>2</v>
      </c>
      <c r="J57" s="4">
        <v>3</v>
      </c>
      <c r="K57" s="2" t="str">
        <f t="shared" si="0"/>
        <v>resp-inc</v>
      </c>
      <c r="L57" s="2" t="s">
        <v>82</v>
      </c>
      <c r="M57" s="2" t="s">
        <v>53</v>
      </c>
      <c r="N57" s="2" t="s">
        <v>82</v>
      </c>
    </row>
    <row r="58" spans="1:14" x14ac:dyDescent="0.2">
      <c r="A58" s="2" t="s">
        <v>4</v>
      </c>
      <c r="B58" s="2" t="s">
        <v>130</v>
      </c>
      <c r="C58" s="2" t="s">
        <v>9</v>
      </c>
      <c r="D58" s="2" t="s">
        <v>148</v>
      </c>
      <c r="E58" s="2">
        <v>3</v>
      </c>
      <c r="F58" s="3">
        <v>1</v>
      </c>
      <c r="G58" s="2">
        <v>18</v>
      </c>
      <c r="H58" s="8">
        <v>2</v>
      </c>
      <c r="J58" s="4">
        <v>4</v>
      </c>
      <c r="K58" s="2" t="str">
        <f t="shared" si="0"/>
        <v>resp-inc</v>
      </c>
      <c r="L58" s="2" t="s">
        <v>82</v>
      </c>
      <c r="M58" s="2" t="s">
        <v>52</v>
      </c>
      <c r="N58" s="2" t="s">
        <v>82</v>
      </c>
    </row>
    <row r="59" spans="1:14" x14ac:dyDescent="0.2">
      <c r="A59" s="2" t="s">
        <v>4</v>
      </c>
      <c r="B59" s="2" t="s">
        <v>130</v>
      </c>
      <c r="C59" s="2" t="s">
        <v>9</v>
      </c>
      <c r="D59" s="2" t="s">
        <v>149</v>
      </c>
      <c r="E59" s="2">
        <v>3</v>
      </c>
      <c r="F59" s="3">
        <v>2</v>
      </c>
      <c r="G59" s="2">
        <v>19</v>
      </c>
      <c r="H59" s="8">
        <v>2</v>
      </c>
      <c r="J59" s="4">
        <v>2</v>
      </c>
      <c r="K59" s="2" t="str">
        <f t="shared" si="0"/>
        <v>resp-correct</v>
      </c>
      <c r="L59" s="2" t="s">
        <v>82</v>
      </c>
      <c r="M59" s="4" t="s">
        <v>57</v>
      </c>
      <c r="N59" s="4" t="s">
        <v>82</v>
      </c>
    </row>
    <row r="60" spans="1:14" x14ac:dyDescent="0.2">
      <c r="A60" s="2" t="s">
        <v>4</v>
      </c>
      <c r="B60" s="2" t="s">
        <v>130</v>
      </c>
      <c r="C60" s="2" t="s">
        <v>9</v>
      </c>
      <c r="D60" s="2" t="s">
        <v>150</v>
      </c>
      <c r="E60" s="2">
        <v>3</v>
      </c>
      <c r="F60" s="3">
        <v>3</v>
      </c>
      <c r="G60" s="2">
        <v>20</v>
      </c>
      <c r="H60" s="8">
        <v>2</v>
      </c>
      <c r="J60" s="4">
        <v>2</v>
      </c>
      <c r="K60" s="2" t="str">
        <f t="shared" si="0"/>
        <v>resp-correct</v>
      </c>
      <c r="L60" s="2" t="s">
        <v>82</v>
      </c>
      <c r="M60" s="2" t="s">
        <v>55</v>
      </c>
      <c r="N60" s="2" t="s">
        <v>82</v>
      </c>
    </row>
    <row r="61" spans="1:14" x14ac:dyDescent="0.2">
      <c r="A61" s="2" t="s">
        <v>4</v>
      </c>
      <c r="B61" s="2" t="s">
        <v>130</v>
      </c>
      <c r="C61" s="2" t="s">
        <v>9</v>
      </c>
      <c r="D61" s="2" t="s">
        <v>151</v>
      </c>
      <c r="E61" s="2">
        <v>3</v>
      </c>
      <c r="F61" s="3">
        <v>4</v>
      </c>
      <c r="G61" s="2">
        <v>21</v>
      </c>
      <c r="H61" s="8">
        <v>2</v>
      </c>
      <c r="J61" s="4">
        <v>3</v>
      </c>
      <c r="K61" s="2" t="str">
        <f t="shared" si="0"/>
        <v>resp-inc</v>
      </c>
      <c r="L61" s="2" t="s">
        <v>82</v>
      </c>
      <c r="M61" s="2" t="s">
        <v>55</v>
      </c>
      <c r="N61" s="2" t="s">
        <v>82</v>
      </c>
    </row>
    <row r="62" spans="1:14" x14ac:dyDescent="0.2">
      <c r="A62" s="2" t="s">
        <v>4</v>
      </c>
      <c r="B62" s="2" t="s">
        <v>130</v>
      </c>
      <c r="C62" s="2" t="s">
        <v>9</v>
      </c>
      <c r="D62" s="2" t="s">
        <v>152</v>
      </c>
      <c r="E62" s="2">
        <v>3</v>
      </c>
      <c r="F62" s="3">
        <v>5</v>
      </c>
      <c r="G62" s="2">
        <v>22</v>
      </c>
      <c r="H62" s="8">
        <v>1</v>
      </c>
      <c r="J62" s="4">
        <v>1</v>
      </c>
      <c r="K62" s="2" t="str">
        <f t="shared" si="0"/>
        <v>resp-correct</v>
      </c>
      <c r="L62" s="2" t="s">
        <v>82</v>
      </c>
      <c r="M62" s="4" t="s">
        <v>57</v>
      </c>
      <c r="N62" s="4" t="s">
        <v>82</v>
      </c>
    </row>
    <row r="63" spans="1:14" x14ac:dyDescent="0.2">
      <c r="A63" s="2" t="s">
        <v>4</v>
      </c>
      <c r="B63" s="2" t="s">
        <v>130</v>
      </c>
      <c r="C63" s="2" t="s">
        <v>9</v>
      </c>
      <c r="D63" s="2" t="s">
        <v>153</v>
      </c>
      <c r="E63" s="2">
        <v>3</v>
      </c>
      <c r="F63" s="3">
        <v>6</v>
      </c>
      <c r="G63" s="2">
        <v>23</v>
      </c>
      <c r="H63" s="8">
        <v>2</v>
      </c>
      <c r="J63" s="4">
        <v>3</v>
      </c>
      <c r="K63" s="2" t="str">
        <f t="shared" si="0"/>
        <v>resp-inc</v>
      </c>
      <c r="L63" s="2" t="s">
        <v>82</v>
      </c>
      <c r="M63" s="2" t="s">
        <v>52</v>
      </c>
      <c r="N63" s="2" t="s">
        <v>82</v>
      </c>
    </row>
    <row r="64" spans="1:14" x14ac:dyDescent="0.2">
      <c r="A64" s="2" t="s">
        <v>4</v>
      </c>
      <c r="B64" s="2" t="s">
        <v>130</v>
      </c>
      <c r="C64" s="2" t="s">
        <v>9</v>
      </c>
      <c r="D64" s="2" t="s">
        <v>154</v>
      </c>
      <c r="E64" s="2">
        <v>3</v>
      </c>
      <c r="F64" s="3">
        <v>7</v>
      </c>
      <c r="G64" s="2">
        <v>24</v>
      </c>
      <c r="H64" s="8">
        <v>1</v>
      </c>
      <c r="J64" s="4">
        <v>1</v>
      </c>
      <c r="K64" s="2" t="str">
        <f t="shared" si="0"/>
        <v>resp-correct</v>
      </c>
      <c r="L64" s="2" t="s">
        <v>82</v>
      </c>
      <c r="M64" s="4" t="s">
        <v>57</v>
      </c>
      <c r="N64" s="4" t="s">
        <v>82</v>
      </c>
    </row>
    <row r="65" spans="1:14" x14ac:dyDescent="0.2">
      <c r="A65" s="2" t="s">
        <v>4</v>
      </c>
      <c r="B65" s="2" t="s">
        <v>130</v>
      </c>
      <c r="C65" s="2" t="s">
        <v>9</v>
      </c>
      <c r="D65" s="2" t="s">
        <v>155</v>
      </c>
      <c r="E65" s="2">
        <v>3</v>
      </c>
      <c r="F65" s="3">
        <v>8</v>
      </c>
      <c r="G65" s="2">
        <v>25</v>
      </c>
      <c r="H65" s="8">
        <v>1</v>
      </c>
      <c r="J65" s="4">
        <v>3</v>
      </c>
      <c r="K65" s="2" t="str">
        <f t="shared" si="0"/>
        <v>resp-inc</v>
      </c>
      <c r="L65" s="2" t="s">
        <v>82</v>
      </c>
      <c r="M65" s="2" t="s">
        <v>53</v>
      </c>
      <c r="N65" s="2" t="s">
        <v>82</v>
      </c>
    </row>
    <row r="66" spans="1:14" x14ac:dyDescent="0.2">
      <c r="A66" s="2" t="s">
        <v>4</v>
      </c>
      <c r="B66" s="2" t="s">
        <v>130</v>
      </c>
      <c r="C66" s="2" t="s">
        <v>10</v>
      </c>
      <c r="D66" s="2" t="s">
        <v>156</v>
      </c>
      <c r="E66" s="2">
        <v>4</v>
      </c>
      <c r="F66" s="3">
        <v>1</v>
      </c>
      <c r="G66" s="2">
        <v>26</v>
      </c>
      <c r="H66" s="8">
        <v>2</v>
      </c>
      <c r="J66" s="4">
        <v>1</v>
      </c>
      <c r="K66" s="2" t="str">
        <f t="shared" si="0"/>
        <v>resp-inc</v>
      </c>
      <c r="L66" s="2" t="s">
        <v>82</v>
      </c>
      <c r="M66" s="2" t="s">
        <v>54</v>
      </c>
      <c r="N66" s="2" t="s">
        <v>82</v>
      </c>
    </row>
    <row r="67" spans="1:14" x14ac:dyDescent="0.2">
      <c r="A67" s="2" t="s">
        <v>4</v>
      </c>
      <c r="B67" s="2" t="s">
        <v>130</v>
      </c>
      <c r="C67" s="2" t="s">
        <v>10</v>
      </c>
      <c r="D67" s="2" t="s">
        <v>157</v>
      </c>
      <c r="E67" s="2">
        <v>4</v>
      </c>
      <c r="F67" s="3">
        <v>2</v>
      </c>
      <c r="G67" s="2">
        <v>27</v>
      </c>
      <c r="H67" s="8">
        <v>2</v>
      </c>
      <c r="J67" s="4">
        <v>2</v>
      </c>
      <c r="K67" s="2" t="str">
        <f t="shared" ref="K67:K112" si="1">IF(H67="","resp-skipped",IF(H67=J67,"resp-correct","resp-inc"))</f>
        <v>resp-correct</v>
      </c>
      <c r="L67" s="2" t="s">
        <v>82</v>
      </c>
      <c r="M67" s="2" t="s">
        <v>52</v>
      </c>
      <c r="N67" s="2" t="s">
        <v>82</v>
      </c>
    </row>
    <row r="68" spans="1:14" x14ac:dyDescent="0.2">
      <c r="A68" s="2" t="s">
        <v>4</v>
      </c>
      <c r="B68" s="2" t="s">
        <v>130</v>
      </c>
      <c r="C68" s="2" t="s">
        <v>10</v>
      </c>
      <c r="D68" s="2" t="s">
        <v>158</v>
      </c>
      <c r="E68" s="2">
        <v>4</v>
      </c>
      <c r="F68" s="3">
        <v>3</v>
      </c>
      <c r="G68" s="2">
        <v>28</v>
      </c>
      <c r="H68" s="8">
        <v>2</v>
      </c>
      <c r="J68" s="4">
        <v>4</v>
      </c>
      <c r="K68" s="2" t="str">
        <f t="shared" si="1"/>
        <v>resp-inc</v>
      </c>
      <c r="L68" s="2" t="s">
        <v>82</v>
      </c>
      <c r="M68" s="2" t="s">
        <v>55</v>
      </c>
      <c r="N68" s="2" t="s">
        <v>82</v>
      </c>
    </row>
    <row r="69" spans="1:14" x14ac:dyDescent="0.2">
      <c r="A69" s="2" t="s">
        <v>4</v>
      </c>
      <c r="B69" s="2" t="s">
        <v>130</v>
      </c>
      <c r="C69" s="2" t="s">
        <v>10</v>
      </c>
      <c r="D69" s="2" t="s">
        <v>159</v>
      </c>
      <c r="E69" s="2">
        <v>4</v>
      </c>
      <c r="F69" s="3">
        <v>4</v>
      </c>
      <c r="G69" s="2">
        <v>29</v>
      </c>
      <c r="H69" s="8">
        <v>2</v>
      </c>
      <c r="J69" s="4">
        <v>3</v>
      </c>
      <c r="K69" s="2" t="str">
        <f t="shared" si="1"/>
        <v>resp-inc</v>
      </c>
      <c r="L69" s="2" t="s">
        <v>82</v>
      </c>
      <c r="M69" s="4" t="s">
        <v>57</v>
      </c>
      <c r="N69" s="4" t="s">
        <v>82</v>
      </c>
    </row>
    <row r="70" spans="1:14" x14ac:dyDescent="0.2">
      <c r="A70" s="2" t="s">
        <v>4</v>
      </c>
      <c r="B70" s="2" t="s">
        <v>130</v>
      </c>
      <c r="C70" s="2" t="s">
        <v>10</v>
      </c>
      <c r="D70" s="2" t="s">
        <v>160</v>
      </c>
      <c r="E70" s="2">
        <v>4</v>
      </c>
      <c r="F70" s="3">
        <v>5</v>
      </c>
      <c r="G70" s="2">
        <v>30</v>
      </c>
      <c r="H70" s="8">
        <v>2</v>
      </c>
      <c r="J70" s="4">
        <v>4</v>
      </c>
      <c r="K70" s="2" t="str">
        <f t="shared" si="1"/>
        <v>resp-inc</v>
      </c>
      <c r="L70" s="2" t="s">
        <v>82</v>
      </c>
      <c r="M70" s="2" t="s">
        <v>52</v>
      </c>
      <c r="N70" s="2" t="s">
        <v>82</v>
      </c>
    </row>
    <row r="71" spans="1:14" x14ac:dyDescent="0.2">
      <c r="A71" s="2" t="s">
        <v>4</v>
      </c>
      <c r="B71" s="2" t="s">
        <v>130</v>
      </c>
      <c r="C71" s="2" t="s">
        <v>10</v>
      </c>
      <c r="D71" s="2" t="s">
        <v>161</v>
      </c>
      <c r="E71" s="2">
        <v>4</v>
      </c>
      <c r="F71" s="3">
        <v>6</v>
      </c>
      <c r="G71" s="2">
        <v>31</v>
      </c>
      <c r="H71" s="8">
        <v>2</v>
      </c>
      <c r="J71" s="4">
        <v>2</v>
      </c>
      <c r="K71" s="2" t="str">
        <f t="shared" si="1"/>
        <v>resp-correct</v>
      </c>
      <c r="L71" s="2" t="s">
        <v>82</v>
      </c>
      <c r="M71" s="2" t="s">
        <v>53</v>
      </c>
      <c r="N71" s="2" t="s">
        <v>82</v>
      </c>
    </row>
    <row r="72" spans="1:14" x14ac:dyDescent="0.2">
      <c r="A72" s="2" t="s">
        <v>4</v>
      </c>
      <c r="B72" s="2" t="s">
        <v>130</v>
      </c>
      <c r="C72" s="2" t="s">
        <v>10</v>
      </c>
      <c r="D72" s="2" t="s">
        <v>162</v>
      </c>
      <c r="E72" s="2">
        <v>4</v>
      </c>
      <c r="F72" s="3">
        <v>7</v>
      </c>
      <c r="G72" s="2">
        <v>32</v>
      </c>
      <c r="H72" s="8">
        <v>3</v>
      </c>
      <c r="J72" s="4">
        <v>2</v>
      </c>
      <c r="K72" s="2" t="str">
        <f t="shared" si="1"/>
        <v>resp-inc</v>
      </c>
      <c r="L72" s="2" t="s">
        <v>82</v>
      </c>
      <c r="M72" s="4" t="s">
        <v>57</v>
      </c>
      <c r="N72" s="4" t="s">
        <v>82</v>
      </c>
    </row>
    <row r="73" spans="1:14" x14ac:dyDescent="0.2">
      <c r="A73" s="2" t="s">
        <v>5</v>
      </c>
      <c r="B73" s="2" t="s">
        <v>163</v>
      </c>
      <c r="C73" s="2" t="s">
        <v>7</v>
      </c>
      <c r="D73" s="2" t="s">
        <v>164</v>
      </c>
      <c r="E73" s="2">
        <v>1</v>
      </c>
      <c r="F73" s="3">
        <v>1</v>
      </c>
      <c r="G73" s="2">
        <v>1</v>
      </c>
      <c r="H73" s="8">
        <v>3</v>
      </c>
      <c r="J73" s="4">
        <v>3</v>
      </c>
      <c r="K73" s="2" t="str">
        <f t="shared" si="1"/>
        <v>resp-correct</v>
      </c>
      <c r="L73" s="2" t="s">
        <v>82</v>
      </c>
      <c r="M73" s="2" t="s">
        <v>58</v>
      </c>
      <c r="N73" s="2" t="s">
        <v>82</v>
      </c>
    </row>
    <row r="74" spans="1:14" x14ac:dyDescent="0.2">
      <c r="A74" s="2" t="s">
        <v>5</v>
      </c>
      <c r="B74" s="2" t="s">
        <v>163</v>
      </c>
      <c r="C74" s="2" t="s">
        <v>7</v>
      </c>
      <c r="D74" s="2" t="s">
        <v>165</v>
      </c>
      <c r="E74" s="2">
        <v>1</v>
      </c>
      <c r="F74" s="3">
        <v>2</v>
      </c>
      <c r="G74" s="2">
        <v>2</v>
      </c>
      <c r="H74" s="8">
        <v>3</v>
      </c>
      <c r="J74" s="4">
        <v>3</v>
      </c>
      <c r="K74" s="2" t="str">
        <f t="shared" si="1"/>
        <v>resp-correct</v>
      </c>
      <c r="L74" s="2" t="s">
        <v>82</v>
      </c>
      <c r="M74" s="2" t="s">
        <v>58</v>
      </c>
      <c r="N74" s="2" t="s">
        <v>82</v>
      </c>
    </row>
    <row r="75" spans="1:14" x14ac:dyDescent="0.2">
      <c r="A75" s="2" t="s">
        <v>5</v>
      </c>
      <c r="B75" s="2" t="s">
        <v>163</v>
      </c>
      <c r="C75" s="2" t="s">
        <v>7</v>
      </c>
      <c r="D75" s="2" t="s">
        <v>166</v>
      </c>
      <c r="E75" s="2">
        <v>1</v>
      </c>
      <c r="F75" s="3">
        <v>3</v>
      </c>
      <c r="G75" s="2">
        <v>3</v>
      </c>
      <c r="H75" s="8">
        <v>3</v>
      </c>
      <c r="J75" s="4">
        <v>4</v>
      </c>
      <c r="K75" s="2" t="str">
        <f t="shared" si="1"/>
        <v>resp-inc</v>
      </c>
      <c r="L75" s="2" t="s">
        <v>82</v>
      </c>
      <c r="M75" s="2" t="s">
        <v>59</v>
      </c>
      <c r="N75" s="2" t="s">
        <v>82</v>
      </c>
    </row>
    <row r="76" spans="1:14" x14ac:dyDescent="0.2">
      <c r="A76" s="2" t="s">
        <v>5</v>
      </c>
      <c r="B76" s="2" t="s">
        <v>163</v>
      </c>
      <c r="C76" s="2" t="s">
        <v>7</v>
      </c>
      <c r="D76" s="2" t="s">
        <v>167</v>
      </c>
      <c r="E76" s="2">
        <v>1</v>
      </c>
      <c r="F76" s="3">
        <v>4</v>
      </c>
      <c r="G76" s="2">
        <v>4</v>
      </c>
      <c r="H76" s="8">
        <v>3</v>
      </c>
      <c r="J76" s="4">
        <v>1</v>
      </c>
      <c r="K76" s="2" t="str">
        <f t="shared" si="1"/>
        <v>resp-inc</v>
      </c>
      <c r="L76" s="2" t="s">
        <v>82</v>
      </c>
      <c r="M76" s="2" t="s">
        <v>58</v>
      </c>
      <c r="N76" s="2" t="s">
        <v>82</v>
      </c>
    </row>
    <row r="77" spans="1:14" x14ac:dyDescent="0.2">
      <c r="A77" s="2" t="s">
        <v>5</v>
      </c>
      <c r="B77" s="2" t="s">
        <v>163</v>
      </c>
      <c r="C77" s="2" t="s">
        <v>8</v>
      </c>
      <c r="D77" s="2" t="s">
        <v>168</v>
      </c>
      <c r="E77" s="2">
        <v>2</v>
      </c>
      <c r="F77" s="3">
        <v>1</v>
      </c>
      <c r="G77" s="2">
        <v>5</v>
      </c>
      <c r="H77" s="8">
        <v>3</v>
      </c>
      <c r="J77" s="4">
        <v>1</v>
      </c>
      <c r="K77" s="2" t="str">
        <f t="shared" si="1"/>
        <v>resp-inc</v>
      </c>
      <c r="L77" s="2" t="s">
        <v>82</v>
      </c>
      <c r="M77" s="2" t="s">
        <v>60</v>
      </c>
      <c r="N77" s="2" t="s">
        <v>82</v>
      </c>
    </row>
    <row r="78" spans="1:14" x14ac:dyDescent="0.2">
      <c r="A78" s="2" t="s">
        <v>5</v>
      </c>
      <c r="B78" s="2" t="s">
        <v>163</v>
      </c>
      <c r="C78" s="2" t="s">
        <v>8</v>
      </c>
      <c r="D78" s="2" t="s">
        <v>169</v>
      </c>
      <c r="E78" s="2">
        <v>2</v>
      </c>
      <c r="F78" s="3">
        <v>2</v>
      </c>
      <c r="G78" s="2">
        <v>6</v>
      </c>
      <c r="H78" s="8">
        <v>4</v>
      </c>
      <c r="J78" s="4">
        <v>3</v>
      </c>
      <c r="K78" s="2" t="str">
        <f t="shared" si="1"/>
        <v>resp-inc</v>
      </c>
      <c r="L78" s="2" t="s">
        <v>82</v>
      </c>
      <c r="M78" s="2" t="s">
        <v>60</v>
      </c>
      <c r="N78" s="2" t="s">
        <v>82</v>
      </c>
    </row>
    <row r="79" spans="1:14" x14ac:dyDescent="0.2">
      <c r="A79" s="2" t="s">
        <v>5</v>
      </c>
      <c r="B79" s="2" t="s">
        <v>163</v>
      </c>
      <c r="C79" s="2" t="s">
        <v>8</v>
      </c>
      <c r="D79" s="2" t="s">
        <v>170</v>
      </c>
      <c r="E79" s="2">
        <v>2</v>
      </c>
      <c r="F79" s="3">
        <v>3</v>
      </c>
      <c r="G79" s="2">
        <v>7</v>
      </c>
      <c r="H79" s="8">
        <v>4</v>
      </c>
      <c r="J79" s="4">
        <v>2</v>
      </c>
      <c r="K79" s="2" t="str">
        <f t="shared" si="1"/>
        <v>resp-inc</v>
      </c>
      <c r="L79" s="2" t="s">
        <v>82</v>
      </c>
      <c r="M79" s="2" t="s">
        <v>61</v>
      </c>
      <c r="N79" s="2" t="s">
        <v>82</v>
      </c>
    </row>
    <row r="80" spans="1:14" x14ac:dyDescent="0.2">
      <c r="A80" s="2" t="s">
        <v>5</v>
      </c>
      <c r="B80" s="2" t="s">
        <v>163</v>
      </c>
      <c r="C80" s="2" t="s">
        <v>8</v>
      </c>
      <c r="D80" s="2" t="s">
        <v>171</v>
      </c>
      <c r="E80" s="2">
        <v>2</v>
      </c>
      <c r="F80" s="3">
        <v>4</v>
      </c>
      <c r="G80" s="2">
        <v>8</v>
      </c>
      <c r="H80" s="8">
        <v>4</v>
      </c>
      <c r="J80" s="4">
        <v>4</v>
      </c>
      <c r="K80" s="2" t="str">
        <f t="shared" si="1"/>
        <v>resp-correct</v>
      </c>
      <c r="L80" s="2" t="s">
        <v>82</v>
      </c>
      <c r="M80" s="2" t="s">
        <v>61</v>
      </c>
      <c r="N80" s="2" t="s">
        <v>82</v>
      </c>
    </row>
    <row r="81" spans="1:14" x14ac:dyDescent="0.2">
      <c r="A81" s="2" t="s">
        <v>5</v>
      </c>
      <c r="B81" s="2" t="s">
        <v>163</v>
      </c>
      <c r="C81" s="2" t="s">
        <v>8</v>
      </c>
      <c r="D81" s="2" t="s">
        <v>172</v>
      </c>
      <c r="E81" s="2">
        <v>2</v>
      </c>
      <c r="F81" s="3">
        <v>5</v>
      </c>
      <c r="G81" s="2">
        <v>9</v>
      </c>
      <c r="H81" s="8">
        <v>4</v>
      </c>
      <c r="J81" s="4">
        <v>1</v>
      </c>
      <c r="K81" s="2" t="str">
        <f t="shared" si="1"/>
        <v>resp-inc</v>
      </c>
      <c r="L81" s="2" t="s">
        <v>82</v>
      </c>
      <c r="M81" s="2" t="s">
        <v>62</v>
      </c>
      <c r="N81" s="2" t="s">
        <v>82</v>
      </c>
    </row>
    <row r="82" spans="1:14" x14ac:dyDescent="0.2">
      <c r="A82" s="2" t="s">
        <v>5</v>
      </c>
      <c r="B82" s="2" t="s">
        <v>163</v>
      </c>
      <c r="C82" s="2" t="s">
        <v>9</v>
      </c>
      <c r="D82" s="2" t="s">
        <v>173</v>
      </c>
      <c r="E82" s="2">
        <v>3</v>
      </c>
      <c r="F82" s="3">
        <v>1</v>
      </c>
      <c r="G82" s="2">
        <v>10</v>
      </c>
      <c r="H82" s="8">
        <v>4</v>
      </c>
      <c r="J82" s="4">
        <v>2</v>
      </c>
      <c r="K82" s="2" t="str">
        <f t="shared" si="1"/>
        <v>resp-inc</v>
      </c>
      <c r="L82" s="2" t="s">
        <v>82</v>
      </c>
      <c r="M82" s="2" t="s">
        <v>63</v>
      </c>
      <c r="N82" s="2" t="s">
        <v>82</v>
      </c>
    </row>
    <row r="83" spans="1:14" x14ac:dyDescent="0.2">
      <c r="A83" s="2" t="s">
        <v>5</v>
      </c>
      <c r="B83" s="2" t="s">
        <v>163</v>
      </c>
      <c r="C83" s="2" t="s">
        <v>9</v>
      </c>
      <c r="D83" s="2" t="s">
        <v>174</v>
      </c>
      <c r="E83" s="2">
        <v>3</v>
      </c>
      <c r="F83" s="3">
        <v>2</v>
      </c>
      <c r="G83" s="2">
        <v>11</v>
      </c>
      <c r="H83" s="8">
        <v>1</v>
      </c>
      <c r="J83" s="4">
        <v>4</v>
      </c>
      <c r="K83" s="2" t="str">
        <f t="shared" si="1"/>
        <v>resp-inc</v>
      </c>
      <c r="L83" s="2" t="s">
        <v>82</v>
      </c>
      <c r="M83" s="2" t="s">
        <v>63</v>
      </c>
      <c r="N83" s="2" t="s">
        <v>82</v>
      </c>
    </row>
    <row r="84" spans="1:14" x14ac:dyDescent="0.2">
      <c r="A84" s="2" t="s">
        <v>5</v>
      </c>
      <c r="B84" s="2" t="s">
        <v>163</v>
      </c>
      <c r="C84" s="2" t="s">
        <v>9</v>
      </c>
      <c r="D84" s="2" t="s">
        <v>175</v>
      </c>
      <c r="E84" s="2">
        <v>3</v>
      </c>
      <c r="F84" s="3">
        <v>3</v>
      </c>
      <c r="G84" s="2">
        <v>12</v>
      </c>
      <c r="H84" s="8">
        <v>1</v>
      </c>
      <c r="J84" s="4">
        <v>3</v>
      </c>
      <c r="K84" s="2" t="str">
        <f t="shared" si="1"/>
        <v>resp-inc</v>
      </c>
      <c r="L84" s="2" t="s">
        <v>82</v>
      </c>
      <c r="M84" s="2" t="s">
        <v>64</v>
      </c>
      <c r="N84" s="2" t="s">
        <v>82</v>
      </c>
    </row>
    <row r="85" spans="1:14" x14ac:dyDescent="0.2">
      <c r="A85" s="2" t="s">
        <v>5</v>
      </c>
      <c r="B85" s="2" t="s">
        <v>163</v>
      </c>
      <c r="C85" s="2" t="s">
        <v>9</v>
      </c>
      <c r="D85" s="2" t="s">
        <v>176</v>
      </c>
      <c r="E85" s="2">
        <v>3</v>
      </c>
      <c r="F85" s="3">
        <v>4</v>
      </c>
      <c r="G85" s="2">
        <v>13</v>
      </c>
      <c r="H85" s="8">
        <v>1</v>
      </c>
      <c r="J85" s="4">
        <v>1</v>
      </c>
      <c r="K85" s="2" t="str">
        <f t="shared" si="1"/>
        <v>resp-correct</v>
      </c>
      <c r="L85" s="2" t="s">
        <v>82</v>
      </c>
      <c r="M85" s="2" t="s">
        <v>63</v>
      </c>
      <c r="N85" s="2" t="s">
        <v>82</v>
      </c>
    </row>
    <row r="86" spans="1:14" x14ac:dyDescent="0.2">
      <c r="A86" s="2" t="s">
        <v>5</v>
      </c>
      <c r="B86" s="2" t="s">
        <v>163</v>
      </c>
      <c r="C86" s="2" t="s">
        <v>9</v>
      </c>
      <c r="D86" s="2" t="s">
        <v>177</v>
      </c>
      <c r="E86" s="2">
        <v>3</v>
      </c>
      <c r="F86" s="3">
        <v>5</v>
      </c>
      <c r="G86" s="2">
        <v>14</v>
      </c>
      <c r="H86" s="8">
        <v>1</v>
      </c>
      <c r="J86" s="4">
        <v>4</v>
      </c>
      <c r="K86" s="2" t="str">
        <f t="shared" si="1"/>
        <v>resp-inc</v>
      </c>
      <c r="L86" s="2" t="s">
        <v>82</v>
      </c>
      <c r="M86" s="2" t="s">
        <v>63</v>
      </c>
      <c r="N86" s="2" t="s">
        <v>82</v>
      </c>
    </row>
    <row r="87" spans="1:14" x14ac:dyDescent="0.2">
      <c r="A87" s="2" t="s">
        <v>5</v>
      </c>
      <c r="B87" s="2" t="s">
        <v>163</v>
      </c>
      <c r="C87" s="2" t="s">
        <v>9</v>
      </c>
      <c r="D87" s="2" t="s">
        <v>178</v>
      </c>
      <c r="E87" s="2">
        <v>3</v>
      </c>
      <c r="F87" s="3">
        <v>6</v>
      </c>
      <c r="G87" s="2">
        <v>15</v>
      </c>
      <c r="H87" s="8">
        <v>2</v>
      </c>
      <c r="J87" s="4">
        <v>1</v>
      </c>
      <c r="K87" s="2" t="str">
        <f t="shared" si="1"/>
        <v>resp-inc</v>
      </c>
      <c r="L87" s="2" t="s">
        <v>82</v>
      </c>
      <c r="M87" s="2" t="s">
        <v>63</v>
      </c>
      <c r="N87" s="2" t="s">
        <v>82</v>
      </c>
    </row>
    <row r="88" spans="1:14" x14ac:dyDescent="0.2">
      <c r="A88" s="2" t="s">
        <v>5</v>
      </c>
      <c r="B88" s="2" t="s">
        <v>163</v>
      </c>
      <c r="C88" s="2" t="s">
        <v>6</v>
      </c>
      <c r="D88" s="2" t="s">
        <v>179</v>
      </c>
      <c r="E88" s="2">
        <v>4</v>
      </c>
      <c r="F88" s="3">
        <v>1</v>
      </c>
      <c r="G88" s="2">
        <v>16</v>
      </c>
      <c r="H88" s="8">
        <v>2</v>
      </c>
      <c r="J88" s="4">
        <v>2</v>
      </c>
      <c r="K88" s="2" t="str">
        <f t="shared" si="1"/>
        <v>resp-correct</v>
      </c>
      <c r="L88" s="2" t="s">
        <v>82</v>
      </c>
      <c r="M88" s="2" t="s">
        <v>65</v>
      </c>
      <c r="N88" s="2" t="s">
        <v>82</v>
      </c>
    </row>
    <row r="89" spans="1:14" x14ac:dyDescent="0.2">
      <c r="A89" s="2" t="s">
        <v>5</v>
      </c>
      <c r="B89" s="2" t="s">
        <v>163</v>
      </c>
      <c r="C89" s="2" t="s">
        <v>6</v>
      </c>
      <c r="D89" s="2" t="s">
        <v>180</v>
      </c>
      <c r="E89" s="2">
        <v>4</v>
      </c>
      <c r="F89" s="3">
        <v>2</v>
      </c>
      <c r="G89" s="2">
        <v>17</v>
      </c>
      <c r="H89" s="8">
        <v>2</v>
      </c>
      <c r="J89" s="4">
        <v>2</v>
      </c>
      <c r="K89" s="2" t="str">
        <f t="shared" si="1"/>
        <v>resp-correct</v>
      </c>
      <c r="L89" s="2" t="s">
        <v>82</v>
      </c>
      <c r="M89" s="2" t="s">
        <v>58</v>
      </c>
      <c r="N89" s="2" t="s">
        <v>82</v>
      </c>
    </row>
    <row r="90" spans="1:14" x14ac:dyDescent="0.2">
      <c r="A90" s="2" t="s">
        <v>5</v>
      </c>
      <c r="B90" s="2" t="s">
        <v>163</v>
      </c>
      <c r="C90" s="2" t="s">
        <v>6</v>
      </c>
      <c r="D90" s="2" t="s">
        <v>181</v>
      </c>
      <c r="E90" s="2">
        <v>4</v>
      </c>
      <c r="F90" s="3">
        <v>3</v>
      </c>
      <c r="G90" s="2">
        <v>18</v>
      </c>
      <c r="H90" s="8">
        <v>2</v>
      </c>
      <c r="J90" s="4">
        <v>2</v>
      </c>
      <c r="K90" s="2" t="str">
        <f t="shared" si="1"/>
        <v>resp-correct</v>
      </c>
      <c r="L90" s="2" t="s">
        <v>82</v>
      </c>
      <c r="M90" s="2" t="s">
        <v>66</v>
      </c>
      <c r="N90" s="2" t="s">
        <v>82</v>
      </c>
    </row>
    <row r="91" spans="1:14" x14ac:dyDescent="0.2">
      <c r="A91" s="2" t="s">
        <v>5</v>
      </c>
      <c r="B91" s="2" t="s">
        <v>163</v>
      </c>
      <c r="C91" s="2" t="s">
        <v>6</v>
      </c>
      <c r="D91" s="2" t="s">
        <v>182</v>
      </c>
      <c r="E91" s="2">
        <v>4</v>
      </c>
      <c r="F91" s="3">
        <v>4</v>
      </c>
      <c r="G91" s="2">
        <v>19</v>
      </c>
      <c r="H91" s="8">
        <v>2</v>
      </c>
      <c r="J91" s="4">
        <v>3</v>
      </c>
      <c r="K91" s="2" t="str">
        <f t="shared" si="1"/>
        <v>resp-inc</v>
      </c>
      <c r="L91" s="2" t="s">
        <v>82</v>
      </c>
      <c r="M91" s="2" t="s">
        <v>67</v>
      </c>
      <c r="N91" s="2" t="s">
        <v>82</v>
      </c>
    </row>
    <row r="92" spans="1:14" x14ac:dyDescent="0.2">
      <c r="A92" s="2" t="s">
        <v>5</v>
      </c>
      <c r="B92" s="2" t="s">
        <v>163</v>
      </c>
      <c r="C92" s="2" t="s">
        <v>6</v>
      </c>
      <c r="D92" s="2" t="s">
        <v>183</v>
      </c>
      <c r="E92" s="2">
        <v>4</v>
      </c>
      <c r="F92" s="3">
        <v>5</v>
      </c>
      <c r="G92" s="2">
        <v>20</v>
      </c>
      <c r="H92" s="8">
        <v>1</v>
      </c>
      <c r="J92" s="4">
        <v>2</v>
      </c>
      <c r="K92" s="2" t="str">
        <f t="shared" si="1"/>
        <v>resp-inc</v>
      </c>
      <c r="L92" s="2" t="s">
        <v>82</v>
      </c>
      <c r="M92" s="2" t="s">
        <v>68</v>
      </c>
      <c r="N92" s="2" t="s">
        <v>82</v>
      </c>
    </row>
    <row r="93" spans="1:14" x14ac:dyDescent="0.2">
      <c r="A93" s="2" t="s">
        <v>5</v>
      </c>
      <c r="B93" s="2" t="s">
        <v>163</v>
      </c>
      <c r="C93" s="2" t="s">
        <v>10</v>
      </c>
      <c r="D93" s="2" t="s">
        <v>184</v>
      </c>
      <c r="E93" s="2">
        <v>5</v>
      </c>
      <c r="F93" s="3">
        <v>1</v>
      </c>
      <c r="G93" s="2">
        <v>21</v>
      </c>
      <c r="H93" s="8">
        <v>2</v>
      </c>
      <c r="J93" s="4">
        <v>3</v>
      </c>
      <c r="K93" s="2" t="str">
        <f t="shared" si="1"/>
        <v>resp-inc</v>
      </c>
      <c r="L93" s="2" t="s">
        <v>82</v>
      </c>
      <c r="M93" s="2" t="s">
        <v>59</v>
      </c>
      <c r="N93" s="2" t="s">
        <v>82</v>
      </c>
    </row>
    <row r="94" spans="1:14" x14ac:dyDescent="0.2">
      <c r="A94" s="2" t="s">
        <v>5</v>
      </c>
      <c r="B94" s="2" t="s">
        <v>163</v>
      </c>
      <c r="C94" s="2" t="s">
        <v>10</v>
      </c>
      <c r="D94" s="2" t="s">
        <v>185</v>
      </c>
      <c r="E94" s="2">
        <v>5</v>
      </c>
      <c r="F94" s="3">
        <v>2</v>
      </c>
      <c r="G94" s="2">
        <v>22</v>
      </c>
      <c r="H94" s="8">
        <v>1</v>
      </c>
      <c r="J94" s="4">
        <v>1</v>
      </c>
      <c r="K94" s="2" t="str">
        <f t="shared" si="1"/>
        <v>resp-correct</v>
      </c>
      <c r="L94" s="2" t="s">
        <v>82</v>
      </c>
      <c r="M94" s="2" t="s">
        <v>69</v>
      </c>
      <c r="N94" s="2" t="s">
        <v>82</v>
      </c>
    </row>
    <row r="95" spans="1:14" x14ac:dyDescent="0.2">
      <c r="A95" s="2" t="s">
        <v>5</v>
      </c>
      <c r="B95" s="2" t="s">
        <v>163</v>
      </c>
      <c r="C95" s="2" t="s">
        <v>10</v>
      </c>
      <c r="D95" s="2" t="s">
        <v>186</v>
      </c>
      <c r="E95" s="2">
        <v>5</v>
      </c>
      <c r="F95" s="3">
        <v>3</v>
      </c>
      <c r="G95" s="2">
        <v>23</v>
      </c>
      <c r="H95" s="8">
        <v>1</v>
      </c>
      <c r="J95" s="4">
        <v>3</v>
      </c>
      <c r="K95" s="2" t="str">
        <f t="shared" si="1"/>
        <v>resp-inc</v>
      </c>
      <c r="L95" s="2" t="s">
        <v>82</v>
      </c>
      <c r="M95" s="2" t="s">
        <v>69</v>
      </c>
      <c r="N95" s="2" t="s">
        <v>82</v>
      </c>
    </row>
    <row r="96" spans="1:14" x14ac:dyDescent="0.2">
      <c r="A96" s="2" t="s">
        <v>5</v>
      </c>
      <c r="B96" s="2" t="s">
        <v>163</v>
      </c>
      <c r="C96" s="2" t="s">
        <v>10</v>
      </c>
      <c r="D96" s="2" t="s">
        <v>187</v>
      </c>
      <c r="E96" s="2">
        <v>5</v>
      </c>
      <c r="F96" s="3">
        <v>4</v>
      </c>
      <c r="G96" s="2">
        <v>24</v>
      </c>
      <c r="H96" s="8">
        <v>2</v>
      </c>
      <c r="J96" s="4">
        <v>3</v>
      </c>
      <c r="K96" s="2" t="str">
        <f t="shared" si="1"/>
        <v>resp-inc</v>
      </c>
      <c r="L96" s="2" t="s">
        <v>82</v>
      </c>
      <c r="M96" s="2" t="s">
        <v>69</v>
      </c>
      <c r="N96" s="2" t="s">
        <v>82</v>
      </c>
    </row>
    <row r="97" spans="1:14" x14ac:dyDescent="0.2">
      <c r="A97" s="2" t="s">
        <v>5</v>
      </c>
      <c r="B97" s="2" t="s">
        <v>163</v>
      </c>
      <c r="C97" s="2" t="s">
        <v>11</v>
      </c>
      <c r="D97" s="2" t="s">
        <v>188</v>
      </c>
      <c r="E97" s="2">
        <v>6</v>
      </c>
      <c r="F97" s="3">
        <v>1</v>
      </c>
      <c r="G97" s="2">
        <v>25</v>
      </c>
      <c r="H97" s="8">
        <v>2</v>
      </c>
      <c r="J97" s="4">
        <v>1</v>
      </c>
      <c r="K97" s="2" t="str">
        <f t="shared" si="1"/>
        <v>resp-inc</v>
      </c>
      <c r="L97" s="2" t="s">
        <v>82</v>
      </c>
      <c r="M97" s="2" t="s">
        <v>70</v>
      </c>
      <c r="N97" s="2" t="s">
        <v>82</v>
      </c>
    </row>
    <row r="98" spans="1:14" x14ac:dyDescent="0.2">
      <c r="A98" s="2" t="s">
        <v>5</v>
      </c>
      <c r="B98" s="2" t="s">
        <v>163</v>
      </c>
      <c r="C98" s="2" t="s">
        <v>11</v>
      </c>
      <c r="D98" s="2" t="s">
        <v>189</v>
      </c>
      <c r="E98" s="2">
        <v>6</v>
      </c>
      <c r="F98" s="3">
        <v>2</v>
      </c>
      <c r="G98" s="2">
        <v>26</v>
      </c>
      <c r="H98" s="8">
        <v>2</v>
      </c>
      <c r="J98" s="4">
        <v>3</v>
      </c>
      <c r="K98" s="2" t="str">
        <f t="shared" si="1"/>
        <v>resp-inc</v>
      </c>
      <c r="L98" s="2" t="s">
        <v>82</v>
      </c>
      <c r="M98" s="2" t="s">
        <v>71</v>
      </c>
      <c r="N98" s="2" t="s">
        <v>82</v>
      </c>
    </row>
    <row r="99" spans="1:14" x14ac:dyDescent="0.2">
      <c r="A99" s="2" t="s">
        <v>5</v>
      </c>
      <c r="B99" s="2" t="s">
        <v>163</v>
      </c>
      <c r="C99" s="2" t="s">
        <v>11</v>
      </c>
      <c r="D99" s="2" t="s">
        <v>190</v>
      </c>
      <c r="E99" s="2">
        <v>6</v>
      </c>
      <c r="F99" s="3">
        <v>3</v>
      </c>
      <c r="G99" s="2">
        <v>27</v>
      </c>
      <c r="H99" s="8">
        <v>2</v>
      </c>
      <c r="J99" s="4">
        <v>2</v>
      </c>
      <c r="K99" s="2" t="str">
        <f t="shared" si="1"/>
        <v>resp-correct</v>
      </c>
      <c r="L99" s="2" t="s">
        <v>82</v>
      </c>
      <c r="M99" s="2" t="s">
        <v>64</v>
      </c>
      <c r="N99" s="2" t="s">
        <v>82</v>
      </c>
    </row>
    <row r="100" spans="1:14" x14ac:dyDescent="0.2">
      <c r="A100" s="2" t="s">
        <v>5</v>
      </c>
      <c r="B100" s="2" t="s">
        <v>163</v>
      </c>
      <c r="C100" s="2" t="s">
        <v>11</v>
      </c>
      <c r="D100" s="2" t="s">
        <v>191</v>
      </c>
      <c r="E100" s="2">
        <v>6</v>
      </c>
      <c r="F100" s="3">
        <v>4</v>
      </c>
      <c r="G100" s="2">
        <v>28</v>
      </c>
      <c r="H100" s="8">
        <v>2</v>
      </c>
      <c r="J100" s="4">
        <v>1</v>
      </c>
      <c r="K100" s="2" t="str">
        <f t="shared" si="1"/>
        <v>resp-inc</v>
      </c>
      <c r="L100" s="2" t="s">
        <v>82</v>
      </c>
      <c r="M100" s="2" t="s">
        <v>64</v>
      </c>
      <c r="N100" s="2" t="s">
        <v>82</v>
      </c>
    </row>
    <row r="101" spans="1:14" x14ac:dyDescent="0.2">
      <c r="A101" s="2" t="s">
        <v>5</v>
      </c>
      <c r="B101" s="2" t="s">
        <v>163</v>
      </c>
      <c r="C101" s="2" t="s">
        <v>11</v>
      </c>
      <c r="D101" s="2" t="s">
        <v>192</v>
      </c>
      <c r="E101" s="2">
        <v>6</v>
      </c>
      <c r="F101" s="3">
        <v>5</v>
      </c>
      <c r="G101" s="2">
        <v>29</v>
      </c>
      <c r="H101" s="8">
        <v>2</v>
      </c>
      <c r="J101" s="4">
        <v>3</v>
      </c>
      <c r="K101" s="2" t="str">
        <f t="shared" si="1"/>
        <v>resp-inc</v>
      </c>
      <c r="L101" s="2" t="s">
        <v>82</v>
      </c>
      <c r="M101" s="2" t="s">
        <v>64</v>
      </c>
      <c r="N101" s="2" t="s">
        <v>82</v>
      </c>
    </row>
    <row r="102" spans="1:14" x14ac:dyDescent="0.2">
      <c r="A102" s="2" t="s">
        <v>5</v>
      </c>
      <c r="B102" s="2" t="s">
        <v>163</v>
      </c>
      <c r="C102" s="2" t="s">
        <v>11</v>
      </c>
      <c r="D102" s="2" t="s">
        <v>193</v>
      </c>
      <c r="E102" s="2">
        <v>6</v>
      </c>
      <c r="F102" s="3">
        <v>6</v>
      </c>
      <c r="G102" s="2">
        <v>30</v>
      </c>
      <c r="H102" s="8">
        <v>3</v>
      </c>
      <c r="J102" s="4">
        <v>1</v>
      </c>
      <c r="K102" s="2" t="str">
        <f t="shared" si="1"/>
        <v>resp-inc</v>
      </c>
      <c r="L102" s="2" t="s">
        <v>82</v>
      </c>
      <c r="M102" s="2" t="s">
        <v>64</v>
      </c>
      <c r="N102" s="2" t="s">
        <v>82</v>
      </c>
    </row>
    <row r="103" spans="1:14" x14ac:dyDescent="0.2">
      <c r="A103" s="2" t="s">
        <v>5</v>
      </c>
      <c r="B103" s="2" t="s">
        <v>163</v>
      </c>
      <c r="C103" s="2" t="s">
        <v>12</v>
      </c>
      <c r="D103" s="2" t="s">
        <v>194</v>
      </c>
      <c r="E103" s="2">
        <v>7</v>
      </c>
      <c r="F103" s="3">
        <v>1</v>
      </c>
      <c r="G103" s="2">
        <v>31</v>
      </c>
      <c r="H103" s="8">
        <v>3</v>
      </c>
      <c r="J103" s="4">
        <v>4</v>
      </c>
      <c r="K103" s="2" t="str">
        <f t="shared" si="1"/>
        <v>resp-inc</v>
      </c>
      <c r="L103" s="2" t="s">
        <v>82</v>
      </c>
      <c r="M103" s="2" t="s">
        <v>72</v>
      </c>
      <c r="N103" s="2" t="s">
        <v>82</v>
      </c>
    </row>
    <row r="104" spans="1:14" x14ac:dyDescent="0.2">
      <c r="A104" s="2" t="s">
        <v>5</v>
      </c>
      <c r="B104" s="2" t="s">
        <v>163</v>
      </c>
      <c r="C104" s="2" t="s">
        <v>12</v>
      </c>
      <c r="D104" s="2" t="s">
        <v>195</v>
      </c>
      <c r="E104" s="2">
        <v>7</v>
      </c>
      <c r="F104" s="3">
        <v>2</v>
      </c>
      <c r="G104" s="2">
        <v>32</v>
      </c>
      <c r="H104" s="8">
        <v>3</v>
      </c>
      <c r="J104" s="4">
        <v>2</v>
      </c>
      <c r="K104" s="2" t="str">
        <f t="shared" si="1"/>
        <v>resp-inc</v>
      </c>
      <c r="L104" s="2" t="s">
        <v>82</v>
      </c>
      <c r="M104" s="2" t="s">
        <v>72</v>
      </c>
      <c r="N104" s="2" t="s">
        <v>82</v>
      </c>
    </row>
    <row r="105" spans="1:14" x14ac:dyDescent="0.2">
      <c r="A105" s="2" t="s">
        <v>5</v>
      </c>
      <c r="B105" s="2" t="s">
        <v>163</v>
      </c>
      <c r="C105" s="2" t="s">
        <v>12</v>
      </c>
      <c r="D105" s="2" t="s">
        <v>196</v>
      </c>
      <c r="E105" s="2">
        <v>7</v>
      </c>
      <c r="F105" s="3">
        <v>3</v>
      </c>
      <c r="G105" s="2">
        <v>33</v>
      </c>
      <c r="H105" s="8">
        <v>3</v>
      </c>
      <c r="J105" s="4">
        <v>1</v>
      </c>
      <c r="K105" s="2" t="str">
        <f t="shared" si="1"/>
        <v>resp-inc</v>
      </c>
      <c r="L105" s="2" t="s">
        <v>82</v>
      </c>
      <c r="M105" s="2" t="s">
        <v>72</v>
      </c>
      <c r="N105" s="2" t="s">
        <v>82</v>
      </c>
    </row>
    <row r="106" spans="1:14" x14ac:dyDescent="0.2">
      <c r="A106" s="2" t="s">
        <v>5</v>
      </c>
      <c r="B106" s="2" t="s">
        <v>163</v>
      </c>
      <c r="C106" s="2" t="s">
        <v>12</v>
      </c>
      <c r="D106" s="2" t="s">
        <v>197</v>
      </c>
      <c r="E106" s="2">
        <v>7</v>
      </c>
      <c r="F106" s="3">
        <v>4</v>
      </c>
      <c r="G106" s="2">
        <v>34</v>
      </c>
      <c r="H106" s="8">
        <v>3</v>
      </c>
      <c r="J106" s="4">
        <v>3</v>
      </c>
      <c r="K106" s="2" t="str">
        <f t="shared" si="1"/>
        <v>resp-correct</v>
      </c>
      <c r="L106" s="2" t="s">
        <v>82</v>
      </c>
      <c r="M106" s="2" t="s">
        <v>73</v>
      </c>
      <c r="N106" s="2" t="s">
        <v>82</v>
      </c>
    </row>
    <row r="107" spans="1:14" x14ac:dyDescent="0.2">
      <c r="A107" s="2" t="s">
        <v>5</v>
      </c>
      <c r="B107" s="2" t="s">
        <v>163</v>
      </c>
      <c r="C107" s="2" t="s">
        <v>12</v>
      </c>
      <c r="D107" s="2" t="s">
        <v>198</v>
      </c>
      <c r="E107" s="2">
        <v>7</v>
      </c>
      <c r="F107" s="3">
        <v>5</v>
      </c>
      <c r="G107" s="2">
        <v>35</v>
      </c>
      <c r="H107" s="8">
        <v>3</v>
      </c>
      <c r="J107" s="4">
        <v>4</v>
      </c>
      <c r="K107" s="2" t="str">
        <f t="shared" si="1"/>
        <v>resp-inc</v>
      </c>
      <c r="L107" s="2" t="s">
        <v>82</v>
      </c>
      <c r="M107" s="2" t="s">
        <v>72</v>
      </c>
      <c r="N107" s="2" t="s">
        <v>82</v>
      </c>
    </row>
    <row r="108" spans="1:14" x14ac:dyDescent="0.2">
      <c r="A108" s="2" t="s">
        <v>5</v>
      </c>
      <c r="B108" s="2" t="s">
        <v>163</v>
      </c>
      <c r="C108" s="2" t="s">
        <v>12</v>
      </c>
      <c r="D108" s="2" t="s">
        <v>199</v>
      </c>
      <c r="E108" s="2">
        <v>7</v>
      </c>
      <c r="F108" s="3">
        <v>6</v>
      </c>
      <c r="G108" s="2">
        <v>36</v>
      </c>
      <c r="H108" s="8">
        <v>4</v>
      </c>
      <c r="J108" s="4">
        <v>1</v>
      </c>
      <c r="K108" s="2" t="str">
        <f t="shared" si="1"/>
        <v>resp-inc</v>
      </c>
      <c r="L108" s="2" t="s">
        <v>82</v>
      </c>
      <c r="M108" s="2" t="s">
        <v>74</v>
      </c>
      <c r="N108" s="2" t="s">
        <v>82</v>
      </c>
    </row>
    <row r="109" spans="1:14" x14ac:dyDescent="0.2">
      <c r="A109" s="2" t="s">
        <v>5</v>
      </c>
      <c r="B109" s="2" t="s">
        <v>163</v>
      </c>
      <c r="C109" s="2" t="s">
        <v>6</v>
      </c>
      <c r="D109" s="2" t="s">
        <v>200</v>
      </c>
      <c r="E109" s="2">
        <v>8</v>
      </c>
      <c r="F109" s="3">
        <v>1</v>
      </c>
      <c r="G109" s="2">
        <v>37</v>
      </c>
      <c r="H109" s="8">
        <v>4</v>
      </c>
      <c r="J109" s="4">
        <v>1</v>
      </c>
      <c r="K109" s="2" t="str">
        <f t="shared" si="1"/>
        <v>resp-inc</v>
      </c>
      <c r="L109" s="2" t="s">
        <v>82</v>
      </c>
      <c r="M109" s="2" t="s">
        <v>75</v>
      </c>
      <c r="N109" s="2" t="s">
        <v>82</v>
      </c>
    </row>
    <row r="110" spans="1:14" x14ac:dyDescent="0.2">
      <c r="A110" s="2" t="s">
        <v>5</v>
      </c>
      <c r="B110" s="2" t="s">
        <v>163</v>
      </c>
      <c r="C110" s="2" t="s">
        <v>6</v>
      </c>
      <c r="D110" s="2" t="s">
        <v>201</v>
      </c>
      <c r="E110" s="2">
        <v>8</v>
      </c>
      <c r="F110" s="3">
        <v>2</v>
      </c>
      <c r="G110" s="2">
        <v>38</v>
      </c>
      <c r="H110" s="8">
        <v>4</v>
      </c>
      <c r="J110" s="4">
        <v>4</v>
      </c>
      <c r="K110" s="2" t="str">
        <f t="shared" si="1"/>
        <v>resp-correct</v>
      </c>
      <c r="L110" s="2" t="s">
        <v>82</v>
      </c>
      <c r="M110" s="2" t="s">
        <v>75</v>
      </c>
      <c r="N110" s="2" t="s">
        <v>82</v>
      </c>
    </row>
    <row r="111" spans="1:14" x14ac:dyDescent="0.2">
      <c r="A111" s="2" t="s">
        <v>5</v>
      </c>
      <c r="B111" s="2" t="s">
        <v>163</v>
      </c>
      <c r="C111" s="2" t="s">
        <v>6</v>
      </c>
      <c r="D111" s="2" t="s">
        <v>202</v>
      </c>
      <c r="E111" s="2">
        <v>8</v>
      </c>
      <c r="F111" s="3">
        <v>3</v>
      </c>
      <c r="G111" s="2">
        <v>39</v>
      </c>
      <c r="H111" s="8">
        <v>4</v>
      </c>
      <c r="J111" s="4">
        <v>3</v>
      </c>
      <c r="K111" s="2" t="str">
        <f t="shared" si="1"/>
        <v>resp-inc</v>
      </c>
      <c r="L111" s="2" t="s">
        <v>82</v>
      </c>
      <c r="M111" s="2" t="s">
        <v>61</v>
      </c>
      <c r="N111" s="2" t="s">
        <v>82</v>
      </c>
    </row>
    <row r="112" spans="1:14" x14ac:dyDescent="0.2">
      <c r="A112" s="2" t="s">
        <v>875</v>
      </c>
      <c r="H112" s="8">
        <v>4</v>
      </c>
      <c r="J112" s="2">
        <v>4</v>
      </c>
      <c r="K112" s="2" t="str">
        <f t="shared" si="1"/>
        <v>resp-correct</v>
      </c>
    </row>
  </sheetData>
  <autoFilter ref="A1:N111"/>
  <dataValidations count="1">
    <dataValidation type="list" allowBlank="1" showInputMessage="1" showErrorMessage="1" promptTitle="Mark - Y or Yes values only" sqref="I1:I1048576">
      <formula1>"Y,Yes"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111"/>
  <sheetViews>
    <sheetView workbookViewId="0">
      <selection activeCell="B3" sqref="B3"/>
    </sheetView>
  </sheetViews>
  <sheetFormatPr defaultColWidth="32.28515625" defaultRowHeight="11.25" x14ac:dyDescent="0.2"/>
  <cols>
    <col min="1" max="1" width="7.5703125" style="9" customWidth="1" collapsed="1"/>
    <col min="2" max="2" width="9.85546875" style="9" customWidth="1" collapsed="1"/>
    <col min="3" max="3" width="42.7109375" style="9" customWidth="1" collapsed="1"/>
    <col min="4" max="4" width="5.85546875" style="9" customWidth="1" collapsed="1"/>
    <col min="5" max="5" width="36.7109375" style="9" customWidth="1" collapsed="1"/>
    <col min="6" max="6" width="18.28515625" style="9" customWidth="1" collapsed="1"/>
    <col min="7" max="7" width="19.7109375" style="9" customWidth="1" collapsed="1"/>
    <col min="8" max="8" width="23.85546875" style="9" customWidth="1" collapsed="1"/>
    <col min="9" max="9" width="24.140625" style="9" customWidth="1" collapsed="1"/>
    <col min="10" max="16384" width="32.28515625" style="9" collapsed="1"/>
  </cols>
  <sheetData>
    <row r="1" spans="1:25" s="10" customFormat="1" x14ac:dyDescent="0.2">
      <c r="A1" s="10" t="s">
        <v>2</v>
      </c>
      <c r="B1" s="10" t="s">
        <v>89</v>
      </c>
      <c r="C1" s="10" t="s">
        <v>222</v>
      </c>
      <c r="D1" s="10" t="s">
        <v>0</v>
      </c>
      <c r="E1" s="10" t="s">
        <v>1</v>
      </c>
      <c r="F1" s="10" t="s">
        <v>223</v>
      </c>
      <c r="G1" s="10" t="s">
        <v>224</v>
      </c>
      <c r="H1" s="10" t="s">
        <v>225</v>
      </c>
      <c r="I1" s="10" t="s">
        <v>226</v>
      </c>
      <c r="J1" s="10" t="s">
        <v>227</v>
      </c>
    </row>
    <row r="2" spans="1:25" ht="22.5" x14ac:dyDescent="0.2">
      <c r="A2" s="1" t="s">
        <v>3</v>
      </c>
      <c r="B2" s="16">
        <v>1</v>
      </c>
      <c r="E2" s="1" t="s">
        <v>17</v>
      </c>
      <c r="F2" s="1" t="s">
        <v>233</v>
      </c>
      <c r="G2" s="1" t="s">
        <v>234</v>
      </c>
      <c r="H2" s="1" t="s">
        <v>235</v>
      </c>
      <c r="I2" s="1" t="s">
        <v>236</v>
      </c>
      <c r="Y2" s="9" t="s">
        <v>765</v>
      </c>
    </row>
    <row r="3" spans="1:25" ht="45" x14ac:dyDescent="0.2">
      <c r="A3" s="1" t="s">
        <v>3</v>
      </c>
      <c r="B3" s="16">
        <v>2</v>
      </c>
      <c r="E3" s="1" t="s">
        <v>18</v>
      </c>
      <c r="F3" s="1" t="s">
        <v>237</v>
      </c>
      <c r="G3" s="1" t="s">
        <v>238</v>
      </c>
      <c r="H3" s="1" t="s">
        <v>239</v>
      </c>
      <c r="I3" s="1" t="s">
        <v>240</v>
      </c>
      <c r="Y3" s="9" t="s">
        <v>766</v>
      </c>
    </row>
    <row r="4" spans="1:25" ht="45" x14ac:dyDescent="0.2">
      <c r="A4" s="1" t="s">
        <v>3</v>
      </c>
      <c r="B4" s="16">
        <v>3</v>
      </c>
      <c r="E4" s="1" t="s">
        <v>19</v>
      </c>
      <c r="F4" s="1" t="s">
        <v>241</v>
      </c>
      <c r="G4" s="1" t="s">
        <v>242</v>
      </c>
      <c r="H4" s="1" t="s">
        <v>243</v>
      </c>
      <c r="I4" s="1" t="s">
        <v>244</v>
      </c>
      <c r="Y4" s="9" t="s">
        <v>767</v>
      </c>
    </row>
    <row r="5" spans="1:25" ht="56.25" x14ac:dyDescent="0.2">
      <c r="A5" s="1" t="s">
        <v>3</v>
      </c>
      <c r="B5" s="16">
        <v>4</v>
      </c>
      <c r="E5" s="1" t="s">
        <v>245</v>
      </c>
      <c r="F5" s="1" t="s">
        <v>246</v>
      </c>
      <c r="G5" s="1" t="s">
        <v>247</v>
      </c>
      <c r="H5" s="1" t="s">
        <v>248</v>
      </c>
      <c r="I5" s="1" t="s">
        <v>249</v>
      </c>
      <c r="Y5" s="9" t="s">
        <v>768</v>
      </c>
    </row>
    <row r="6" spans="1:25" ht="101.25" x14ac:dyDescent="0.2">
      <c r="A6" s="1" t="s">
        <v>3</v>
      </c>
      <c r="B6" s="16">
        <v>5</v>
      </c>
      <c r="C6" s="1" t="s">
        <v>255</v>
      </c>
      <c r="E6" s="1" t="s">
        <v>250</v>
      </c>
      <c r="F6" s="1" t="s">
        <v>251</v>
      </c>
      <c r="G6" s="1" t="s">
        <v>252</v>
      </c>
      <c r="H6" s="1" t="s">
        <v>253</v>
      </c>
      <c r="I6" s="1" t="s">
        <v>254</v>
      </c>
      <c r="Y6" s="9" t="s">
        <v>769</v>
      </c>
    </row>
    <row r="7" spans="1:25" ht="78.75" x14ac:dyDescent="0.2">
      <c r="A7" s="1" t="s">
        <v>3</v>
      </c>
      <c r="B7" s="16">
        <v>6</v>
      </c>
      <c r="E7" s="1" t="s">
        <v>256</v>
      </c>
      <c r="F7" s="1" t="s">
        <v>257</v>
      </c>
      <c r="G7" s="1" t="s">
        <v>258</v>
      </c>
      <c r="H7" s="1" t="s">
        <v>259</v>
      </c>
      <c r="I7" s="1" t="s">
        <v>260</v>
      </c>
      <c r="Y7" s="9" t="s">
        <v>770</v>
      </c>
    </row>
    <row r="8" spans="1:25" ht="90" x14ac:dyDescent="0.2">
      <c r="A8" s="1" t="s">
        <v>3</v>
      </c>
      <c r="B8" s="16">
        <v>7</v>
      </c>
      <c r="E8" s="1" t="s">
        <v>261</v>
      </c>
      <c r="F8" s="1" t="s">
        <v>262</v>
      </c>
      <c r="G8" s="1" t="s">
        <v>262</v>
      </c>
      <c r="H8" s="1" t="s">
        <v>262</v>
      </c>
      <c r="I8" s="1" t="s">
        <v>262</v>
      </c>
      <c r="Y8" s="9" t="s">
        <v>771</v>
      </c>
    </row>
    <row r="9" spans="1:25" ht="101.25" x14ac:dyDescent="0.2">
      <c r="A9" s="1" t="s">
        <v>3</v>
      </c>
      <c r="B9" s="16">
        <v>8</v>
      </c>
      <c r="E9" s="1" t="s">
        <v>263</v>
      </c>
      <c r="F9" s="1" t="s">
        <v>265</v>
      </c>
      <c r="G9" s="1" t="s">
        <v>266</v>
      </c>
      <c r="H9" s="1" t="s">
        <v>267</v>
      </c>
      <c r="I9" s="1" t="s">
        <v>268</v>
      </c>
      <c r="Y9" s="9" t="s">
        <v>772</v>
      </c>
    </row>
    <row r="10" spans="1:25" ht="112.5" x14ac:dyDescent="0.2">
      <c r="A10" s="1" t="s">
        <v>3</v>
      </c>
      <c r="B10" s="16">
        <v>9</v>
      </c>
      <c r="E10" s="1" t="s">
        <v>269</v>
      </c>
      <c r="F10" s="1" t="s">
        <v>270</v>
      </c>
      <c r="G10" s="1" t="s">
        <v>271</v>
      </c>
      <c r="H10" s="1" t="s">
        <v>272</v>
      </c>
      <c r="I10" s="1" t="s">
        <v>252</v>
      </c>
      <c r="Y10" s="9" t="s">
        <v>773</v>
      </c>
    </row>
    <row r="11" spans="1:25" ht="123.75" x14ac:dyDescent="0.2">
      <c r="A11" s="1" t="s">
        <v>3</v>
      </c>
      <c r="B11" s="16">
        <v>10</v>
      </c>
      <c r="C11" s="1" t="s">
        <v>279</v>
      </c>
      <c r="E11" s="1" t="s">
        <v>273</v>
      </c>
      <c r="F11" s="1" t="s">
        <v>275</v>
      </c>
      <c r="G11" s="1" t="s">
        <v>276</v>
      </c>
      <c r="H11" s="1" t="s">
        <v>277</v>
      </c>
      <c r="I11" s="1" t="s">
        <v>278</v>
      </c>
      <c r="Y11" s="9" t="s">
        <v>774</v>
      </c>
    </row>
    <row r="12" spans="1:25" ht="135" x14ac:dyDescent="0.2">
      <c r="A12" s="1" t="s">
        <v>3</v>
      </c>
      <c r="B12" s="16">
        <v>11</v>
      </c>
      <c r="E12" s="1" t="s">
        <v>280</v>
      </c>
      <c r="F12" s="1" t="s">
        <v>281</v>
      </c>
      <c r="G12" s="1" t="s">
        <v>282</v>
      </c>
      <c r="H12" s="1" t="s">
        <v>283</v>
      </c>
      <c r="I12" s="1" t="s">
        <v>284</v>
      </c>
      <c r="Y12" s="9" t="s">
        <v>775</v>
      </c>
    </row>
    <row r="13" spans="1:25" ht="146.25" x14ac:dyDescent="0.2">
      <c r="A13" s="1" t="s">
        <v>3</v>
      </c>
      <c r="B13" s="16">
        <v>12</v>
      </c>
      <c r="E13" s="1" t="s">
        <v>285</v>
      </c>
      <c r="F13" s="1" t="s">
        <v>287</v>
      </c>
      <c r="G13" s="1" t="s">
        <v>288</v>
      </c>
      <c r="H13" s="1" t="s">
        <v>289</v>
      </c>
      <c r="I13" s="1" t="s">
        <v>290</v>
      </c>
      <c r="Y13" s="9" t="s">
        <v>776</v>
      </c>
    </row>
    <row r="14" spans="1:25" ht="157.5" x14ac:dyDescent="0.2">
      <c r="A14" s="1" t="s">
        <v>3</v>
      </c>
      <c r="B14" s="16">
        <v>13</v>
      </c>
      <c r="E14" s="1" t="s">
        <v>291</v>
      </c>
      <c r="F14" s="1" t="s">
        <v>292</v>
      </c>
      <c r="G14" s="1" t="s">
        <v>293</v>
      </c>
      <c r="H14" s="1" t="s">
        <v>294</v>
      </c>
      <c r="I14" s="1" t="s">
        <v>295</v>
      </c>
      <c r="Y14" s="9" t="s">
        <v>777</v>
      </c>
    </row>
    <row r="15" spans="1:25" ht="168.75" x14ac:dyDescent="0.2">
      <c r="A15" s="1" t="s">
        <v>3</v>
      </c>
      <c r="B15" s="16">
        <v>14</v>
      </c>
      <c r="C15" s="1" t="s">
        <v>301</v>
      </c>
      <c r="E15" s="1" t="s">
        <v>296</v>
      </c>
      <c r="F15" s="1" t="s">
        <v>297</v>
      </c>
      <c r="G15" s="1" t="s">
        <v>298</v>
      </c>
      <c r="H15" s="1" t="s">
        <v>299</v>
      </c>
      <c r="I15" s="1" t="s">
        <v>300</v>
      </c>
      <c r="Y15" s="9" t="s">
        <v>778</v>
      </c>
    </row>
    <row r="16" spans="1:25" ht="180" x14ac:dyDescent="0.2">
      <c r="A16" s="1" t="s">
        <v>3</v>
      </c>
      <c r="B16" s="16">
        <v>15</v>
      </c>
      <c r="E16" s="1" t="s">
        <v>302</v>
      </c>
      <c r="F16" s="1" t="s">
        <v>303</v>
      </c>
      <c r="G16" s="1" t="s">
        <v>304</v>
      </c>
      <c r="H16" s="1" t="s">
        <v>305</v>
      </c>
      <c r="I16" s="1" t="s">
        <v>306</v>
      </c>
      <c r="Y16" s="9" t="s">
        <v>779</v>
      </c>
    </row>
    <row r="17" spans="1:25" ht="191.25" x14ac:dyDescent="0.2">
      <c r="A17" s="1" t="s">
        <v>3</v>
      </c>
      <c r="B17" s="16">
        <v>16</v>
      </c>
      <c r="E17" s="1" t="s">
        <v>307</v>
      </c>
      <c r="F17" s="1" t="s">
        <v>308</v>
      </c>
      <c r="G17" s="1" t="s">
        <v>309</v>
      </c>
      <c r="H17" s="1" t="s">
        <v>310</v>
      </c>
      <c r="I17" s="1" t="s">
        <v>311</v>
      </c>
      <c r="Y17" s="9" t="s">
        <v>780</v>
      </c>
    </row>
    <row r="18" spans="1:25" ht="202.5" x14ac:dyDescent="0.2">
      <c r="A18" s="1" t="s">
        <v>3</v>
      </c>
      <c r="B18" s="16">
        <v>17</v>
      </c>
      <c r="E18" s="1" t="s">
        <v>312</v>
      </c>
      <c r="F18" s="1" t="s">
        <v>270</v>
      </c>
      <c r="G18" s="1" t="s">
        <v>272</v>
      </c>
      <c r="H18" s="1" t="s">
        <v>251</v>
      </c>
      <c r="I18" s="1" t="s">
        <v>271</v>
      </c>
      <c r="Y18" s="9" t="s">
        <v>781</v>
      </c>
    </row>
    <row r="19" spans="1:25" ht="213.75" x14ac:dyDescent="0.2">
      <c r="A19" s="1" t="s">
        <v>3</v>
      </c>
      <c r="B19" s="16">
        <v>18</v>
      </c>
      <c r="C19" s="1" t="s">
        <v>318</v>
      </c>
      <c r="E19" s="1" t="s">
        <v>313</v>
      </c>
      <c r="F19" s="1" t="s">
        <v>314</v>
      </c>
      <c r="G19" s="1" t="s">
        <v>315</v>
      </c>
      <c r="H19" s="1" t="s">
        <v>316</v>
      </c>
      <c r="I19" s="1" t="s">
        <v>317</v>
      </c>
      <c r="Y19" s="9" t="s">
        <v>782</v>
      </c>
    </row>
    <row r="20" spans="1:25" ht="225" x14ac:dyDescent="0.2">
      <c r="A20" s="1" t="s">
        <v>3</v>
      </c>
      <c r="B20" s="16">
        <v>19</v>
      </c>
      <c r="E20" s="1" t="s">
        <v>319</v>
      </c>
      <c r="F20" s="1" t="s">
        <v>320</v>
      </c>
      <c r="G20" s="1" t="s">
        <v>321</v>
      </c>
      <c r="H20" s="1" t="s">
        <v>322</v>
      </c>
      <c r="I20" s="1" t="s">
        <v>323</v>
      </c>
      <c r="Y20" s="9" t="s">
        <v>783</v>
      </c>
    </row>
    <row r="21" spans="1:25" ht="236.25" x14ac:dyDescent="0.2">
      <c r="A21" s="1" t="s">
        <v>3</v>
      </c>
      <c r="B21" s="16">
        <v>20</v>
      </c>
      <c r="E21" s="1" t="s">
        <v>324</v>
      </c>
      <c r="F21" s="1" t="s">
        <v>326</v>
      </c>
      <c r="G21" s="1" t="s">
        <v>327</v>
      </c>
      <c r="H21" s="1" t="s">
        <v>328</v>
      </c>
      <c r="I21" s="1" t="s">
        <v>329</v>
      </c>
      <c r="Y21" s="9" t="s">
        <v>784</v>
      </c>
    </row>
    <row r="22" spans="1:25" ht="247.5" x14ac:dyDescent="0.2">
      <c r="A22" s="1" t="s">
        <v>3</v>
      </c>
      <c r="B22" s="16">
        <v>21</v>
      </c>
      <c r="E22" s="1" t="s">
        <v>330</v>
      </c>
      <c r="F22" s="1" t="s">
        <v>331</v>
      </c>
      <c r="G22" s="1" t="s">
        <v>332</v>
      </c>
      <c r="H22" s="1" t="s">
        <v>333</v>
      </c>
      <c r="I22" s="1" t="s">
        <v>334</v>
      </c>
      <c r="Y22" s="9" t="s">
        <v>785</v>
      </c>
    </row>
    <row r="23" spans="1:25" ht="258.75" x14ac:dyDescent="0.2">
      <c r="A23" s="1" t="s">
        <v>3</v>
      </c>
      <c r="B23" s="16">
        <v>22</v>
      </c>
      <c r="E23" s="1" t="s">
        <v>335</v>
      </c>
      <c r="F23" s="1" t="s">
        <v>336</v>
      </c>
      <c r="G23" s="1" t="s">
        <v>337</v>
      </c>
      <c r="H23" s="1" t="s">
        <v>338</v>
      </c>
      <c r="I23" s="1" t="s">
        <v>339</v>
      </c>
      <c r="Y23" s="9" t="s">
        <v>786</v>
      </c>
    </row>
    <row r="24" spans="1:25" ht="270" x14ac:dyDescent="0.2">
      <c r="A24" s="1" t="s">
        <v>3</v>
      </c>
      <c r="B24" s="16">
        <v>23</v>
      </c>
      <c r="C24" s="1" t="s">
        <v>345</v>
      </c>
      <c r="E24" s="1" t="s">
        <v>340</v>
      </c>
      <c r="F24" s="1" t="s">
        <v>341</v>
      </c>
      <c r="G24" s="1" t="s">
        <v>342</v>
      </c>
      <c r="H24" s="1" t="s">
        <v>343</v>
      </c>
      <c r="I24" s="1" t="s">
        <v>344</v>
      </c>
      <c r="Y24" s="9" t="s">
        <v>787</v>
      </c>
    </row>
    <row r="25" spans="1:25" ht="281.25" x14ac:dyDescent="0.2">
      <c r="A25" s="1" t="s">
        <v>3</v>
      </c>
      <c r="B25" s="16">
        <v>24</v>
      </c>
      <c r="E25" s="1" t="s">
        <v>346</v>
      </c>
      <c r="F25" s="1" t="s">
        <v>264</v>
      </c>
      <c r="G25" s="1" t="s">
        <v>274</v>
      </c>
      <c r="H25" s="1" t="s">
        <v>286</v>
      </c>
      <c r="I25" s="1" t="s">
        <v>325</v>
      </c>
      <c r="Y25" s="9" t="s">
        <v>788</v>
      </c>
    </row>
    <row r="26" spans="1:25" ht="292.5" x14ac:dyDescent="0.2">
      <c r="A26" s="1" t="s">
        <v>3</v>
      </c>
      <c r="B26" s="16">
        <v>25</v>
      </c>
      <c r="E26" s="1" t="s">
        <v>347</v>
      </c>
      <c r="F26" s="1" t="s">
        <v>348</v>
      </c>
      <c r="G26" s="1" t="s">
        <v>349</v>
      </c>
      <c r="H26" s="1" t="s">
        <v>350</v>
      </c>
      <c r="I26" s="1" t="s">
        <v>351</v>
      </c>
      <c r="Y26" s="9" t="s">
        <v>789</v>
      </c>
    </row>
    <row r="27" spans="1:25" ht="303.75" x14ac:dyDescent="0.2">
      <c r="A27" s="1" t="s">
        <v>3</v>
      </c>
      <c r="B27" s="16">
        <v>26</v>
      </c>
      <c r="E27" s="1" t="s">
        <v>352</v>
      </c>
      <c r="F27" s="1" t="s">
        <v>353</v>
      </c>
      <c r="G27" s="1" t="s">
        <v>354</v>
      </c>
      <c r="H27" s="1" t="s">
        <v>355</v>
      </c>
      <c r="I27" s="1" t="s">
        <v>356</v>
      </c>
      <c r="Y27" s="9" t="s">
        <v>790</v>
      </c>
    </row>
    <row r="28" spans="1:25" ht="315" x14ac:dyDescent="0.2">
      <c r="A28" s="1" t="s">
        <v>3</v>
      </c>
      <c r="B28" s="16">
        <v>27</v>
      </c>
      <c r="C28" s="1" t="s">
        <v>301</v>
      </c>
      <c r="E28" s="1" t="s">
        <v>357</v>
      </c>
      <c r="F28" s="1" t="s">
        <v>358</v>
      </c>
      <c r="G28" s="1" t="s">
        <v>359</v>
      </c>
      <c r="H28" s="1" t="s">
        <v>360</v>
      </c>
      <c r="I28" s="1" t="s">
        <v>361</v>
      </c>
      <c r="Y28" s="9" t="s">
        <v>791</v>
      </c>
    </row>
    <row r="29" spans="1:25" ht="326.25" x14ac:dyDescent="0.2">
      <c r="A29" s="1" t="s">
        <v>3</v>
      </c>
      <c r="B29" s="16">
        <v>28</v>
      </c>
      <c r="E29" s="1" t="s">
        <v>362</v>
      </c>
      <c r="F29" s="1" t="s">
        <v>363</v>
      </c>
      <c r="G29" s="1" t="s">
        <v>364</v>
      </c>
      <c r="H29" s="1" t="s">
        <v>365</v>
      </c>
      <c r="I29" s="1" t="s">
        <v>366</v>
      </c>
      <c r="Y29" s="9" t="s">
        <v>792</v>
      </c>
    </row>
    <row r="30" spans="1:25" ht="337.5" x14ac:dyDescent="0.2">
      <c r="A30" s="1" t="s">
        <v>3</v>
      </c>
      <c r="B30" s="16">
        <v>29</v>
      </c>
      <c r="E30" s="1" t="s">
        <v>367</v>
      </c>
      <c r="F30" s="1" t="s">
        <v>368</v>
      </c>
      <c r="G30" s="1" t="s">
        <v>369</v>
      </c>
      <c r="H30" s="1" t="s">
        <v>370</v>
      </c>
      <c r="I30" s="1" t="s">
        <v>371</v>
      </c>
      <c r="Y30" s="9" t="s">
        <v>793</v>
      </c>
    </row>
    <row r="31" spans="1:25" ht="348.75" x14ac:dyDescent="0.2">
      <c r="A31" s="1" t="s">
        <v>3</v>
      </c>
      <c r="B31" s="16">
        <v>30</v>
      </c>
      <c r="E31" s="1" t="s">
        <v>372</v>
      </c>
      <c r="F31" s="1" t="s">
        <v>262</v>
      </c>
      <c r="G31" s="1" t="s">
        <v>262</v>
      </c>
      <c r="H31" s="1" t="s">
        <v>262</v>
      </c>
      <c r="I31" s="1" t="s">
        <v>262</v>
      </c>
      <c r="Y31" s="9" t="s">
        <v>794</v>
      </c>
    </row>
    <row r="32" spans="1:25" ht="360" x14ac:dyDescent="0.2">
      <c r="A32" s="1" t="s">
        <v>3</v>
      </c>
      <c r="B32" s="16">
        <v>31</v>
      </c>
      <c r="E32" s="1" t="s">
        <v>373</v>
      </c>
      <c r="F32" s="1" t="s">
        <v>374</v>
      </c>
      <c r="G32" s="1" t="s">
        <v>375</v>
      </c>
      <c r="H32" s="1" t="s">
        <v>376</v>
      </c>
      <c r="I32" s="1" t="s">
        <v>377</v>
      </c>
      <c r="Y32" s="9" t="s">
        <v>795</v>
      </c>
    </row>
    <row r="33" spans="1:25" ht="371.25" x14ac:dyDescent="0.2">
      <c r="A33" s="1" t="s">
        <v>3</v>
      </c>
      <c r="B33" s="16">
        <v>32</v>
      </c>
      <c r="E33" s="1" t="s">
        <v>378</v>
      </c>
      <c r="F33" s="1" t="s">
        <v>379</v>
      </c>
      <c r="G33" s="1" t="s">
        <v>380</v>
      </c>
      <c r="H33" s="1" t="s">
        <v>381</v>
      </c>
      <c r="I33" s="1" t="s">
        <v>363</v>
      </c>
      <c r="Y33" s="9" t="s">
        <v>796</v>
      </c>
    </row>
    <row r="34" spans="1:25" ht="382.5" x14ac:dyDescent="0.2">
      <c r="A34" s="1" t="s">
        <v>3</v>
      </c>
      <c r="B34" s="16">
        <v>33</v>
      </c>
      <c r="E34" s="1" t="s">
        <v>382</v>
      </c>
      <c r="F34" s="1" t="s">
        <v>383</v>
      </c>
      <c r="G34" s="1" t="s">
        <v>384</v>
      </c>
      <c r="H34" s="1" t="s">
        <v>385</v>
      </c>
      <c r="I34" s="1" t="s">
        <v>386</v>
      </c>
      <c r="Y34" s="9" t="s">
        <v>797</v>
      </c>
    </row>
    <row r="35" spans="1:25" ht="393.75" x14ac:dyDescent="0.2">
      <c r="A35" s="1" t="s">
        <v>3</v>
      </c>
      <c r="B35" s="16">
        <v>34</v>
      </c>
      <c r="C35" s="1" t="s">
        <v>392</v>
      </c>
      <c r="E35" s="1" t="s">
        <v>387</v>
      </c>
      <c r="F35" s="1" t="s">
        <v>388</v>
      </c>
      <c r="G35" s="1" t="s">
        <v>389</v>
      </c>
      <c r="H35" s="1" t="s">
        <v>390</v>
      </c>
      <c r="I35" s="1" t="s">
        <v>391</v>
      </c>
      <c r="Y35" s="9" t="s">
        <v>798</v>
      </c>
    </row>
    <row r="36" spans="1:25" ht="405" x14ac:dyDescent="0.2">
      <c r="A36" s="1" t="s">
        <v>3</v>
      </c>
      <c r="B36" s="16">
        <v>35</v>
      </c>
      <c r="E36" s="1" t="s">
        <v>393</v>
      </c>
      <c r="F36" s="1" t="s">
        <v>270</v>
      </c>
      <c r="G36" s="1" t="s">
        <v>252</v>
      </c>
      <c r="H36" s="1" t="s">
        <v>271</v>
      </c>
      <c r="I36" s="1" t="s">
        <v>254</v>
      </c>
      <c r="Y36" s="9" t="s">
        <v>799</v>
      </c>
    </row>
    <row r="37" spans="1:25" ht="409.5" x14ac:dyDescent="0.2">
      <c r="A37" s="1" t="s">
        <v>3</v>
      </c>
      <c r="B37" s="16">
        <v>36</v>
      </c>
      <c r="E37" s="1" t="s">
        <v>394</v>
      </c>
      <c r="F37" s="1" t="s">
        <v>395</v>
      </c>
      <c r="G37" s="1" t="s">
        <v>396</v>
      </c>
      <c r="H37" s="1" t="s">
        <v>397</v>
      </c>
      <c r="I37" s="1" t="s">
        <v>398</v>
      </c>
      <c r="Y37" s="9" t="s">
        <v>800</v>
      </c>
    </row>
    <row r="38" spans="1:25" ht="409.5" x14ac:dyDescent="0.2">
      <c r="A38" s="1" t="s">
        <v>3</v>
      </c>
      <c r="B38" s="16">
        <v>37</v>
      </c>
      <c r="E38" s="1" t="s">
        <v>399</v>
      </c>
      <c r="F38" s="1" t="s">
        <v>400</v>
      </c>
      <c r="G38" s="1" t="s">
        <v>401</v>
      </c>
      <c r="H38" s="1" t="s">
        <v>402</v>
      </c>
      <c r="I38" s="1" t="s">
        <v>403</v>
      </c>
      <c r="Y38" s="9" t="s">
        <v>801</v>
      </c>
    </row>
    <row r="39" spans="1:25" ht="409.5" x14ac:dyDescent="0.2">
      <c r="A39" s="1" t="s">
        <v>3</v>
      </c>
      <c r="B39" s="16">
        <v>38</v>
      </c>
      <c r="E39" s="1" t="s">
        <v>404</v>
      </c>
      <c r="F39" s="1" t="s">
        <v>405</v>
      </c>
      <c r="G39" s="1" t="s">
        <v>406</v>
      </c>
      <c r="H39" s="1" t="s">
        <v>407</v>
      </c>
      <c r="I39" s="1" t="s">
        <v>408</v>
      </c>
      <c r="Y39" s="9" t="s">
        <v>802</v>
      </c>
    </row>
    <row r="40" spans="1:25" ht="409.5" x14ac:dyDescent="0.2">
      <c r="A40" s="1" t="s">
        <v>3</v>
      </c>
      <c r="B40" s="16">
        <v>39</v>
      </c>
      <c r="C40" s="1" t="s">
        <v>414</v>
      </c>
      <c r="E40" s="1" t="s">
        <v>409</v>
      </c>
      <c r="F40" s="1" t="s">
        <v>410</v>
      </c>
      <c r="G40" s="1" t="s">
        <v>411</v>
      </c>
      <c r="H40" s="1" t="s">
        <v>412</v>
      </c>
      <c r="I40" s="1" t="s">
        <v>413</v>
      </c>
      <c r="Y40" s="9" t="s">
        <v>803</v>
      </c>
    </row>
    <row r="41" spans="1:25" ht="409.5" x14ac:dyDescent="0.2">
      <c r="A41" s="1" t="s">
        <v>4</v>
      </c>
      <c r="B41" s="16">
        <v>1</v>
      </c>
      <c r="E41" s="1" t="s">
        <v>415</v>
      </c>
      <c r="F41" s="1" t="s">
        <v>416</v>
      </c>
      <c r="G41" s="1" t="s">
        <v>417</v>
      </c>
      <c r="H41" s="1" t="s">
        <v>418</v>
      </c>
      <c r="I41" s="1" t="s">
        <v>419</v>
      </c>
      <c r="Y41" s="9" t="s">
        <v>804</v>
      </c>
    </row>
    <row r="42" spans="1:25" ht="409.5" x14ac:dyDescent="0.2">
      <c r="A42" s="1" t="s">
        <v>4</v>
      </c>
      <c r="B42" s="16">
        <v>2</v>
      </c>
      <c r="E42" s="1" t="s">
        <v>20</v>
      </c>
      <c r="F42" s="1" t="s">
        <v>420</v>
      </c>
      <c r="G42" s="1" t="s">
        <v>421</v>
      </c>
      <c r="H42" s="1" t="s">
        <v>422</v>
      </c>
      <c r="I42" s="1" t="s">
        <v>423</v>
      </c>
      <c r="Y42" s="9" t="s">
        <v>805</v>
      </c>
    </row>
    <row r="43" spans="1:25" ht="409.5" x14ac:dyDescent="0.2">
      <c r="A43" s="1" t="s">
        <v>4</v>
      </c>
      <c r="B43" s="16">
        <v>3</v>
      </c>
      <c r="E43" s="1" t="s">
        <v>21</v>
      </c>
      <c r="F43" s="1" t="s">
        <v>270</v>
      </c>
      <c r="G43" s="1" t="s">
        <v>271</v>
      </c>
      <c r="H43" s="1" t="s">
        <v>253</v>
      </c>
      <c r="I43" s="1" t="s">
        <v>424</v>
      </c>
      <c r="Y43" s="9" t="s">
        <v>806</v>
      </c>
    </row>
    <row r="44" spans="1:25" ht="409.5" x14ac:dyDescent="0.2">
      <c r="A44" s="1" t="s">
        <v>4</v>
      </c>
      <c r="B44" s="16">
        <v>4</v>
      </c>
      <c r="E44" s="1" t="s">
        <v>425</v>
      </c>
      <c r="F44" s="1" t="s">
        <v>426</v>
      </c>
      <c r="G44" s="1" t="s">
        <v>427</v>
      </c>
      <c r="H44" s="1" t="s">
        <v>428</v>
      </c>
      <c r="I44" s="1" t="s">
        <v>429</v>
      </c>
      <c r="Y44" s="9" t="s">
        <v>807</v>
      </c>
    </row>
    <row r="45" spans="1:25" ht="409.5" x14ac:dyDescent="0.2">
      <c r="A45" s="1" t="s">
        <v>4</v>
      </c>
      <c r="B45" s="16">
        <v>5</v>
      </c>
      <c r="E45" s="1" t="s">
        <v>430</v>
      </c>
      <c r="F45" s="1" t="s">
        <v>431</v>
      </c>
      <c r="G45" s="1" t="s">
        <v>432</v>
      </c>
      <c r="H45" s="1" t="s">
        <v>433</v>
      </c>
      <c r="I45" s="1" t="s">
        <v>434</v>
      </c>
      <c r="Y45" s="9" t="s">
        <v>808</v>
      </c>
    </row>
    <row r="46" spans="1:25" ht="409.5" x14ac:dyDescent="0.2">
      <c r="A46" s="1" t="s">
        <v>4</v>
      </c>
      <c r="B46" s="16">
        <v>6</v>
      </c>
      <c r="E46" s="1" t="s">
        <v>435</v>
      </c>
      <c r="F46" s="1" t="s">
        <v>436</v>
      </c>
      <c r="G46" s="1" t="s">
        <v>437</v>
      </c>
      <c r="H46" s="1" t="s">
        <v>438</v>
      </c>
      <c r="I46" s="1" t="s">
        <v>439</v>
      </c>
      <c r="Y46" s="9" t="s">
        <v>809</v>
      </c>
    </row>
    <row r="47" spans="1:25" ht="409.5" x14ac:dyDescent="0.2">
      <c r="A47" s="1" t="s">
        <v>4</v>
      </c>
      <c r="B47" s="16">
        <v>7</v>
      </c>
      <c r="E47" s="1" t="s">
        <v>440</v>
      </c>
      <c r="F47" s="1" t="s">
        <v>441</v>
      </c>
      <c r="G47" s="1" t="s">
        <v>442</v>
      </c>
      <c r="H47" s="1" t="s">
        <v>443</v>
      </c>
      <c r="I47" s="1" t="s">
        <v>444</v>
      </c>
      <c r="Y47" s="9" t="s">
        <v>810</v>
      </c>
    </row>
    <row r="48" spans="1:25" ht="409.5" x14ac:dyDescent="0.2">
      <c r="A48" s="1" t="s">
        <v>4</v>
      </c>
      <c r="B48" s="16">
        <v>8</v>
      </c>
      <c r="C48" s="1" t="s">
        <v>450</v>
      </c>
      <c r="E48" s="1" t="s">
        <v>445</v>
      </c>
      <c r="F48" s="1" t="s">
        <v>446</v>
      </c>
      <c r="G48" s="1" t="s">
        <v>447</v>
      </c>
      <c r="H48" s="1" t="s">
        <v>448</v>
      </c>
      <c r="I48" s="1" t="s">
        <v>449</v>
      </c>
      <c r="Y48" s="9" t="s">
        <v>811</v>
      </c>
    </row>
    <row r="49" spans="1:25" ht="409.5" x14ac:dyDescent="0.2">
      <c r="A49" s="1" t="s">
        <v>4</v>
      </c>
      <c r="B49" s="16">
        <v>9</v>
      </c>
      <c r="E49" s="1" t="s">
        <v>451</v>
      </c>
      <c r="F49" s="1" t="s">
        <v>452</v>
      </c>
      <c r="G49" s="1" t="s">
        <v>453</v>
      </c>
      <c r="H49" s="1" t="s">
        <v>454</v>
      </c>
      <c r="I49" s="1" t="s">
        <v>455</v>
      </c>
      <c r="Y49" s="9" t="s">
        <v>812</v>
      </c>
    </row>
    <row r="50" spans="1:25" ht="409.5" x14ac:dyDescent="0.2">
      <c r="A50" s="1" t="s">
        <v>4</v>
      </c>
      <c r="B50" s="16">
        <v>10</v>
      </c>
      <c r="E50" s="1" t="s">
        <v>456</v>
      </c>
      <c r="F50" s="1" t="s">
        <v>457</v>
      </c>
      <c r="G50" s="1" t="s">
        <v>458</v>
      </c>
      <c r="H50" s="1" t="s">
        <v>459</v>
      </c>
      <c r="I50" s="1" t="s">
        <v>460</v>
      </c>
      <c r="Y50" s="9" t="s">
        <v>813</v>
      </c>
    </row>
    <row r="51" spans="1:25" ht="409.5" x14ac:dyDescent="0.2">
      <c r="A51" s="1" t="s">
        <v>4</v>
      </c>
      <c r="B51" s="16">
        <v>11</v>
      </c>
      <c r="E51" s="1" t="s">
        <v>461</v>
      </c>
      <c r="F51" s="1" t="s">
        <v>462</v>
      </c>
      <c r="G51" s="1" t="s">
        <v>463</v>
      </c>
      <c r="H51" s="1" t="s">
        <v>464</v>
      </c>
      <c r="I51" s="1" t="s">
        <v>465</v>
      </c>
      <c r="Y51" s="9" t="s">
        <v>814</v>
      </c>
    </row>
    <row r="52" spans="1:25" ht="409.5" x14ac:dyDescent="0.2">
      <c r="A52" s="1" t="s">
        <v>4</v>
      </c>
      <c r="B52" s="16">
        <v>12</v>
      </c>
      <c r="E52" s="1" t="s">
        <v>466</v>
      </c>
      <c r="F52" s="1" t="s">
        <v>467</v>
      </c>
      <c r="G52" s="1" t="s">
        <v>468</v>
      </c>
      <c r="H52" s="1" t="s">
        <v>469</v>
      </c>
      <c r="I52" s="1" t="s">
        <v>470</v>
      </c>
      <c r="Y52" s="9" t="s">
        <v>815</v>
      </c>
    </row>
    <row r="53" spans="1:25" ht="409.5" x14ac:dyDescent="0.2">
      <c r="A53" s="1" t="s">
        <v>4</v>
      </c>
      <c r="B53" s="16">
        <v>13</v>
      </c>
      <c r="E53" s="1" t="s">
        <v>471</v>
      </c>
      <c r="F53" s="1" t="s">
        <v>472</v>
      </c>
      <c r="G53" s="1" t="s">
        <v>473</v>
      </c>
      <c r="H53" s="1" t="s">
        <v>474</v>
      </c>
      <c r="I53" s="1" t="s">
        <v>475</v>
      </c>
      <c r="Y53" s="9" t="s">
        <v>816</v>
      </c>
    </row>
    <row r="54" spans="1:25" ht="409.5" x14ac:dyDescent="0.2">
      <c r="A54" s="1" t="s">
        <v>4</v>
      </c>
      <c r="B54" s="16">
        <v>14</v>
      </c>
      <c r="E54" s="1" t="s">
        <v>476</v>
      </c>
      <c r="F54" s="1" t="s">
        <v>477</v>
      </c>
      <c r="G54" s="1" t="s">
        <v>478</v>
      </c>
      <c r="H54" s="1" t="s">
        <v>479</v>
      </c>
      <c r="I54" s="1" t="s">
        <v>480</v>
      </c>
      <c r="Y54" s="9" t="s">
        <v>817</v>
      </c>
    </row>
    <row r="55" spans="1:25" ht="409.5" x14ac:dyDescent="0.2">
      <c r="A55" s="1" t="s">
        <v>4</v>
      </c>
      <c r="B55" s="16">
        <v>15</v>
      </c>
      <c r="E55" s="1" t="s">
        <v>481</v>
      </c>
      <c r="F55" s="1" t="s">
        <v>482</v>
      </c>
      <c r="G55" s="1" t="s">
        <v>483</v>
      </c>
      <c r="H55" s="1" t="s">
        <v>484</v>
      </c>
      <c r="I55" s="1" t="s">
        <v>485</v>
      </c>
      <c r="Y55" s="9" t="s">
        <v>818</v>
      </c>
    </row>
    <row r="56" spans="1:25" ht="409.5" x14ac:dyDescent="0.2">
      <c r="A56" s="1" t="s">
        <v>4</v>
      </c>
      <c r="B56" s="16">
        <v>16</v>
      </c>
      <c r="E56" s="1" t="s">
        <v>486</v>
      </c>
      <c r="F56" s="1" t="s">
        <v>487</v>
      </c>
      <c r="G56" s="1" t="s">
        <v>488</v>
      </c>
      <c r="H56" s="1" t="s">
        <v>489</v>
      </c>
      <c r="I56" s="1" t="s">
        <v>490</v>
      </c>
      <c r="Y56" s="9" t="s">
        <v>819</v>
      </c>
    </row>
    <row r="57" spans="1:25" ht="409.5" x14ac:dyDescent="0.2">
      <c r="A57" s="1" t="s">
        <v>4</v>
      </c>
      <c r="B57" s="16">
        <v>17</v>
      </c>
      <c r="C57" s="1" t="s">
        <v>496</v>
      </c>
      <c r="E57" s="1" t="s">
        <v>491</v>
      </c>
      <c r="F57" s="1" t="s">
        <v>492</v>
      </c>
      <c r="G57" s="1" t="s">
        <v>493</v>
      </c>
      <c r="H57" s="1" t="s">
        <v>494</v>
      </c>
      <c r="I57" s="1" t="s">
        <v>495</v>
      </c>
      <c r="Y57" s="9" t="s">
        <v>820</v>
      </c>
    </row>
    <row r="58" spans="1:25" ht="409.5" x14ac:dyDescent="0.2">
      <c r="A58" s="1" t="s">
        <v>4</v>
      </c>
      <c r="B58" s="16">
        <v>18</v>
      </c>
      <c r="E58" s="1" t="s">
        <v>497</v>
      </c>
      <c r="F58" s="1" t="s">
        <v>498</v>
      </c>
      <c r="G58" s="1" t="s">
        <v>499</v>
      </c>
      <c r="H58" s="1" t="s">
        <v>500</v>
      </c>
      <c r="I58" s="1" t="s">
        <v>501</v>
      </c>
      <c r="Y58" s="9" t="s">
        <v>821</v>
      </c>
    </row>
    <row r="59" spans="1:25" ht="409.5" x14ac:dyDescent="0.2">
      <c r="A59" s="1" t="s">
        <v>4</v>
      </c>
      <c r="B59" s="16">
        <v>19</v>
      </c>
      <c r="E59" s="1" t="s">
        <v>502</v>
      </c>
      <c r="F59" s="1" t="s">
        <v>503</v>
      </c>
      <c r="G59" s="1" t="s">
        <v>504</v>
      </c>
      <c r="H59" s="1" t="s">
        <v>505</v>
      </c>
      <c r="I59" s="1" t="s">
        <v>506</v>
      </c>
      <c r="Y59" s="9" t="s">
        <v>822</v>
      </c>
    </row>
    <row r="60" spans="1:25" ht="409.5" x14ac:dyDescent="0.2">
      <c r="A60" s="1" t="s">
        <v>4</v>
      </c>
      <c r="B60" s="16">
        <v>20</v>
      </c>
      <c r="E60" s="1" t="s">
        <v>507</v>
      </c>
      <c r="F60" s="1" t="s">
        <v>508</v>
      </c>
      <c r="G60" s="1" t="s">
        <v>509</v>
      </c>
      <c r="H60" s="1" t="s">
        <v>510</v>
      </c>
      <c r="I60" s="1" t="s">
        <v>511</v>
      </c>
      <c r="Y60" s="9" t="s">
        <v>823</v>
      </c>
    </row>
    <row r="61" spans="1:25" ht="409.5" x14ac:dyDescent="0.2">
      <c r="A61" s="1" t="s">
        <v>4</v>
      </c>
      <c r="B61" s="16">
        <v>21</v>
      </c>
      <c r="E61" s="1" t="s">
        <v>512</v>
      </c>
      <c r="F61" s="1" t="s">
        <v>513</v>
      </c>
      <c r="G61" s="1" t="s">
        <v>514</v>
      </c>
      <c r="H61" s="1" t="s">
        <v>515</v>
      </c>
      <c r="I61" s="1" t="s">
        <v>516</v>
      </c>
      <c r="Y61" s="9" t="s">
        <v>824</v>
      </c>
    </row>
    <row r="62" spans="1:25" ht="409.5" x14ac:dyDescent="0.2">
      <c r="A62" s="1" t="s">
        <v>4</v>
      </c>
      <c r="B62" s="16">
        <v>22</v>
      </c>
      <c r="E62" s="1" t="s">
        <v>517</v>
      </c>
      <c r="F62" s="1" t="s">
        <v>518</v>
      </c>
      <c r="G62" s="1" t="s">
        <v>519</v>
      </c>
      <c r="H62" s="1" t="s">
        <v>520</v>
      </c>
      <c r="I62" s="1" t="s">
        <v>521</v>
      </c>
      <c r="Y62" s="9" t="s">
        <v>825</v>
      </c>
    </row>
    <row r="63" spans="1:25" ht="409.5" x14ac:dyDescent="0.2">
      <c r="A63" s="1" t="s">
        <v>4</v>
      </c>
      <c r="B63" s="16">
        <v>23</v>
      </c>
      <c r="E63" s="1" t="s">
        <v>522</v>
      </c>
      <c r="F63" s="1" t="s">
        <v>523</v>
      </c>
      <c r="G63" s="1" t="s">
        <v>524</v>
      </c>
      <c r="H63" s="1" t="s">
        <v>525</v>
      </c>
      <c r="I63" s="1" t="s">
        <v>526</v>
      </c>
      <c r="Y63" s="9" t="s">
        <v>826</v>
      </c>
    </row>
    <row r="64" spans="1:25" ht="409.5" x14ac:dyDescent="0.2">
      <c r="A64" s="1" t="s">
        <v>4</v>
      </c>
      <c r="B64" s="16">
        <v>24</v>
      </c>
      <c r="E64" s="1" t="s">
        <v>527</v>
      </c>
      <c r="F64" s="1" t="s">
        <v>528</v>
      </c>
      <c r="G64" s="1" t="s">
        <v>529</v>
      </c>
      <c r="H64" s="1" t="s">
        <v>530</v>
      </c>
      <c r="I64" s="1" t="s">
        <v>531</v>
      </c>
      <c r="Y64" s="9" t="s">
        <v>827</v>
      </c>
    </row>
    <row r="65" spans="1:25" ht="409.5" x14ac:dyDescent="0.2">
      <c r="A65" s="1" t="s">
        <v>4</v>
      </c>
      <c r="B65" s="16">
        <v>25</v>
      </c>
      <c r="C65" s="1" t="s">
        <v>537</v>
      </c>
      <c r="E65" s="1" t="s">
        <v>532</v>
      </c>
      <c r="F65" s="1" t="s">
        <v>533</v>
      </c>
      <c r="G65" s="1" t="s">
        <v>534</v>
      </c>
      <c r="H65" s="1" t="s">
        <v>535</v>
      </c>
      <c r="I65" s="1" t="s">
        <v>536</v>
      </c>
      <c r="Y65" s="9" t="s">
        <v>828</v>
      </c>
    </row>
    <row r="66" spans="1:25" ht="409.5" x14ac:dyDescent="0.2">
      <c r="A66" s="1" t="s">
        <v>4</v>
      </c>
      <c r="B66" s="16">
        <v>26</v>
      </c>
      <c r="E66" s="1" t="s">
        <v>538</v>
      </c>
      <c r="F66" s="1" t="s">
        <v>539</v>
      </c>
      <c r="G66" s="1" t="s">
        <v>540</v>
      </c>
      <c r="H66" s="1" t="s">
        <v>541</v>
      </c>
      <c r="I66" s="1" t="s">
        <v>542</v>
      </c>
      <c r="Y66" s="9" t="s">
        <v>829</v>
      </c>
    </row>
    <row r="67" spans="1:25" ht="409.5" x14ac:dyDescent="0.2">
      <c r="A67" s="1" t="s">
        <v>4</v>
      </c>
      <c r="B67" s="16">
        <v>27</v>
      </c>
      <c r="E67" s="1" t="s">
        <v>543</v>
      </c>
      <c r="F67" s="1" t="s">
        <v>544</v>
      </c>
      <c r="G67" s="1" t="s">
        <v>545</v>
      </c>
      <c r="H67" s="1" t="s">
        <v>546</v>
      </c>
      <c r="I67" s="1" t="s">
        <v>547</v>
      </c>
      <c r="Y67" s="9" t="s">
        <v>830</v>
      </c>
    </row>
    <row r="68" spans="1:25" ht="409.5" x14ac:dyDescent="0.2">
      <c r="A68" s="1" t="s">
        <v>4</v>
      </c>
      <c r="B68" s="16">
        <v>28</v>
      </c>
      <c r="E68" s="1" t="s">
        <v>548</v>
      </c>
      <c r="F68" s="1" t="s">
        <v>549</v>
      </c>
      <c r="G68" s="1" t="s">
        <v>550</v>
      </c>
      <c r="H68" s="1" t="s">
        <v>551</v>
      </c>
      <c r="I68" s="1" t="s">
        <v>552</v>
      </c>
      <c r="Y68" s="9" t="s">
        <v>831</v>
      </c>
    </row>
    <row r="69" spans="1:25" ht="409.5" x14ac:dyDescent="0.2">
      <c r="A69" s="1" t="s">
        <v>4</v>
      </c>
      <c r="B69" s="16">
        <v>29</v>
      </c>
      <c r="E69" s="1" t="s">
        <v>553</v>
      </c>
      <c r="F69" s="1" t="s">
        <v>554</v>
      </c>
      <c r="G69" s="1" t="s">
        <v>555</v>
      </c>
      <c r="H69" s="1" t="s">
        <v>556</v>
      </c>
      <c r="I69" s="1" t="s">
        <v>557</v>
      </c>
      <c r="Y69" s="9" t="s">
        <v>832</v>
      </c>
    </row>
    <row r="70" spans="1:25" ht="409.5" x14ac:dyDescent="0.2">
      <c r="A70" s="1" t="s">
        <v>4</v>
      </c>
      <c r="B70" s="16">
        <v>30</v>
      </c>
      <c r="E70" s="1" t="s">
        <v>558</v>
      </c>
      <c r="F70" s="1" t="s">
        <v>559</v>
      </c>
      <c r="G70" s="1" t="s">
        <v>560</v>
      </c>
      <c r="H70" s="1" t="s">
        <v>561</v>
      </c>
      <c r="I70" s="1" t="s">
        <v>562</v>
      </c>
      <c r="Y70" s="9" t="s">
        <v>833</v>
      </c>
    </row>
    <row r="71" spans="1:25" ht="409.5" x14ac:dyDescent="0.2">
      <c r="A71" s="1" t="s">
        <v>4</v>
      </c>
      <c r="B71" s="16">
        <v>31</v>
      </c>
      <c r="E71" s="1" t="s">
        <v>563</v>
      </c>
      <c r="F71" s="1" t="s">
        <v>564</v>
      </c>
      <c r="G71" s="1" t="s">
        <v>565</v>
      </c>
      <c r="H71" s="1" t="s">
        <v>566</v>
      </c>
      <c r="I71" s="1" t="s">
        <v>567</v>
      </c>
      <c r="Y71" s="9" t="s">
        <v>834</v>
      </c>
    </row>
    <row r="72" spans="1:25" ht="409.5" x14ac:dyDescent="0.2">
      <c r="A72" s="1" t="s">
        <v>4</v>
      </c>
      <c r="B72" s="16">
        <v>32</v>
      </c>
      <c r="C72" s="1" t="s">
        <v>573</v>
      </c>
      <c r="E72" s="1" t="s">
        <v>568</v>
      </c>
      <c r="F72" s="1" t="s">
        <v>569</v>
      </c>
      <c r="G72" s="1" t="s">
        <v>570</v>
      </c>
      <c r="H72" s="1" t="s">
        <v>571</v>
      </c>
      <c r="I72" s="1" t="s">
        <v>572</v>
      </c>
      <c r="Y72" s="9" t="s">
        <v>835</v>
      </c>
    </row>
    <row r="73" spans="1:25" ht="409.5" x14ac:dyDescent="0.2">
      <c r="A73" s="1" t="s">
        <v>5</v>
      </c>
      <c r="B73" s="16">
        <v>1</v>
      </c>
      <c r="E73" s="1" t="s">
        <v>22</v>
      </c>
      <c r="F73" s="1" t="s">
        <v>574</v>
      </c>
      <c r="G73" s="1" t="s">
        <v>575</v>
      </c>
      <c r="H73" s="1" t="s">
        <v>576</v>
      </c>
      <c r="I73" s="1" t="s">
        <v>577</v>
      </c>
      <c r="Y73" s="9" t="s">
        <v>836</v>
      </c>
    </row>
    <row r="74" spans="1:25" ht="409.5" x14ac:dyDescent="0.2">
      <c r="A74" s="1" t="s">
        <v>5</v>
      </c>
      <c r="B74" s="16">
        <v>2</v>
      </c>
      <c r="E74" s="1" t="s">
        <v>578</v>
      </c>
      <c r="F74" s="1" t="s">
        <v>579</v>
      </c>
      <c r="G74" s="1" t="s">
        <v>580</v>
      </c>
      <c r="H74" s="1" t="s">
        <v>581</v>
      </c>
      <c r="I74" s="1" t="s">
        <v>582</v>
      </c>
      <c r="Y74" s="9" t="s">
        <v>837</v>
      </c>
    </row>
    <row r="75" spans="1:25" ht="409.5" x14ac:dyDescent="0.2">
      <c r="A75" s="1" t="s">
        <v>5</v>
      </c>
      <c r="B75" s="16">
        <v>3</v>
      </c>
      <c r="E75" s="1" t="s">
        <v>583</v>
      </c>
      <c r="F75" s="1" t="s">
        <v>584</v>
      </c>
      <c r="G75" s="1" t="s">
        <v>585</v>
      </c>
      <c r="H75" s="1" t="s">
        <v>586</v>
      </c>
      <c r="I75" s="1" t="s">
        <v>587</v>
      </c>
      <c r="Y75" s="9" t="s">
        <v>838</v>
      </c>
    </row>
    <row r="76" spans="1:25" ht="409.5" x14ac:dyDescent="0.2">
      <c r="A76" s="1" t="s">
        <v>5</v>
      </c>
      <c r="B76" s="16">
        <v>4</v>
      </c>
      <c r="C76" s="1" t="s">
        <v>593</v>
      </c>
      <c r="E76" s="1" t="s">
        <v>588</v>
      </c>
      <c r="F76" s="1" t="s">
        <v>589</v>
      </c>
      <c r="G76" s="1" t="s">
        <v>590</v>
      </c>
      <c r="H76" s="1" t="s">
        <v>591</v>
      </c>
      <c r="I76" s="1" t="s">
        <v>592</v>
      </c>
      <c r="Y76" s="9" t="s">
        <v>839</v>
      </c>
    </row>
    <row r="77" spans="1:25" ht="409.5" x14ac:dyDescent="0.2">
      <c r="A77" s="1" t="s">
        <v>5</v>
      </c>
      <c r="B77" s="16">
        <v>5</v>
      </c>
      <c r="E77" s="1" t="s">
        <v>594</v>
      </c>
      <c r="F77" s="1" t="s">
        <v>595</v>
      </c>
      <c r="G77" s="1" t="s">
        <v>596</v>
      </c>
      <c r="H77" s="1" t="s">
        <v>597</v>
      </c>
      <c r="I77" s="1" t="s">
        <v>598</v>
      </c>
      <c r="Y77" s="9" t="s">
        <v>840</v>
      </c>
    </row>
    <row r="78" spans="1:25" ht="409.5" x14ac:dyDescent="0.2">
      <c r="A78" s="1" t="s">
        <v>5</v>
      </c>
      <c r="B78" s="16">
        <v>6</v>
      </c>
      <c r="E78" s="1" t="s">
        <v>599</v>
      </c>
      <c r="F78" s="1" t="s">
        <v>600</v>
      </c>
      <c r="G78" s="1" t="s">
        <v>601</v>
      </c>
      <c r="H78" s="1" t="s">
        <v>602</v>
      </c>
      <c r="I78" s="1" t="s">
        <v>603</v>
      </c>
      <c r="Y78" s="9" t="s">
        <v>841</v>
      </c>
    </row>
    <row r="79" spans="1:25" ht="409.5" x14ac:dyDescent="0.2">
      <c r="A79" s="1" t="s">
        <v>5</v>
      </c>
      <c r="B79" s="16">
        <v>7</v>
      </c>
      <c r="E79" s="1" t="s">
        <v>604</v>
      </c>
      <c r="F79" s="1" t="s">
        <v>605</v>
      </c>
      <c r="G79" s="1" t="s">
        <v>606</v>
      </c>
      <c r="H79" s="1" t="s">
        <v>607</v>
      </c>
      <c r="I79" s="1" t="s">
        <v>608</v>
      </c>
      <c r="Y79" s="9" t="s">
        <v>842</v>
      </c>
    </row>
    <row r="80" spans="1:25" ht="409.5" x14ac:dyDescent="0.2">
      <c r="A80" s="1" t="s">
        <v>5</v>
      </c>
      <c r="B80" s="16">
        <v>8</v>
      </c>
      <c r="E80" s="1" t="s">
        <v>609</v>
      </c>
      <c r="F80" s="1" t="s">
        <v>610</v>
      </c>
      <c r="G80" s="1" t="s">
        <v>270</v>
      </c>
      <c r="H80" s="1" t="s">
        <v>611</v>
      </c>
      <c r="I80" s="1" t="s">
        <v>612</v>
      </c>
      <c r="Y80" s="9" t="s">
        <v>843</v>
      </c>
    </row>
    <row r="81" spans="1:25" ht="409.5" x14ac:dyDescent="0.2">
      <c r="A81" s="1" t="s">
        <v>5</v>
      </c>
      <c r="B81" s="16">
        <v>9</v>
      </c>
      <c r="C81" s="1" t="s">
        <v>618</v>
      </c>
      <c r="E81" s="1" t="s">
        <v>613</v>
      </c>
      <c r="F81" s="1" t="s">
        <v>614</v>
      </c>
      <c r="G81" s="1" t="s">
        <v>615</v>
      </c>
      <c r="H81" s="1" t="s">
        <v>616</v>
      </c>
      <c r="I81" s="1" t="s">
        <v>617</v>
      </c>
      <c r="Y81" s="9" t="s">
        <v>844</v>
      </c>
    </row>
    <row r="82" spans="1:25" ht="409.5" x14ac:dyDescent="0.2">
      <c r="A82" s="1" t="s">
        <v>5</v>
      </c>
      <c r="B82" s="16">
        <v>10</v>
      </c>
      <c r="E82" s="1" t="s">
        <v>619</v>
      </c>
      <c r="F82" s="1" t="s">
        <v>620</v>
      </c>
      <c r="G82" s="1" t="s">
        <v>621</v>
      </c>
      <c r="H82" s="1" t="s">
        <v>622</v>
      </c>
      <c r="I82" s="1" t="s">
        <v>623</v>
      </c>
      <c r="Y82" s="9" t="s">
        <v>845</v>
      </c>
    </row>
    <row r="83" spans="1:25" ht="409.5" x14ac:dyDescent="0.2">
      <c r="A83" s="1" t="s">
        <v>5</v>
      </c>
      <c r="B83" s="16">
        <v>11</v>
      </c>
      <c r="E83" s="1" t="s">
        <v>624</v>
      </c>
      <c r="F83" s="1" t="s">
        <v>262</v>
      </c>
      <c r="G83" s="1" t="s">
        <v>262</v>
      </c>
      <c r="H83" s="1" t="s">
        <v>262</v>
      </c>
      <c r="I83" s="1" t="s">
        <v>262</v>
      </c>
      <c r="Y83" s="9" t="s">
        <v>846</v>
      </c>
    </row>
    <row r="84" spans="1:25" ht="409.5" x14ac:dyDescent="0.2">
      <c r="A84" s="1" t="s">
        <v>5</v>
      </c>
      <c r="B84" s="16">
        <v>12</v>
      </c>
      <c r="E84" s="1" t="s">
        <v>625</v>
      </c>
      <c r="F84" s="1" t="s">
        <v>626</v>
      </c>
      <c r="G84" s="1" t="s">
        <v>627</v>
      </c>
      <c r="H84" s="1" t="s">
        <v>628</v>
      </c>
      <c r="I84" s="1" t="s">
        <v>629</v>
      </c>
      <c r="Y84" s="9" t="s">
        <v>847</v>
      </c>
    </row>
    <row r="85" spans="1:25" ht="409.5" x14ac:dyDescent="0.2">
      <c r="A85" s="1" t="s">
        <v>5</v>
      </c>
      <c r="B85" s="16">
        <v>13</v>
      </c>
      <c r="E85" s="1" t="s">
        <v>630</v>
      </c>
      <c r="F85" s="1" t="s">
        <v>262</v>
      </c>
      <c r="G85" s="1" t="s">
        <v>262</v>
      </c>
      <c r="H85" s="1" t="s">
        <v>262</v>
      </c>
      <c r="I85" s="1" t="s">
        <v>262</v>
      </c>
      <c r="Y85" s="9" t="s">
        <v>848</v>
      </c>
    </row>
    <row r="86" spans="1:25" ht="409.5" x14ac:dyDescent="0.2">
      <c r="A86" s="1" t="s">
        <v>5</v>
      </c>
      <c r="B86" s="16">
        <v>14</v>
      </c>
      <c r="E86" s="1" t="s">
        <v>631</v>
      </c>
      <c r="F86" s="1" t="s">
        <v>632</v>
      </c>
      <c r="G86" s="1" t="s">
        <v>633</v>
      </c>
      <c r="H86" s="1" t="s">
        <v>634</v>
      </c>
      <c r="I86" s="1" t="s">
        <v>635</v>
      </c>
      <c r="Y86" s="9" t="s">
        <v>849</v>
      </c>
    </row>
    <row r="87" spans="1:25" ht="409.5" x14ac:dyDescent="0.2">
      <c r="A87" s="1" t="s">
        <v>5</v>
      </c>
      <c r="B87" s="16">
        <v>15</v>
      </c>
      <c r="C87" s="1" t="s">
        <v>641</v>
      </c>
      <c r="E87" s="1" t="s">
        <v>636</v>
      </c>
      <c r="F87" s="1" t="s">
        <v>637</v>
      </c>
      <c r="G87" s="1" t="s">
        <v>638</v>
      </c>
      <c r="H87" s="1" t="s">
        <v>639</v>
      </c>
      <c r="I87" s="1" t="s">
        <v>640</v>
      </c>
      <c r="Y87" s="9" t="s">
        <v>850</v>
      </c>
    </row>
    <row r="88" spans="1:25" ht="409.5" x14ac:dyDescent="0.2">
      <c r="A88" s="1" t="s">
        <v>5</v>
      </c>
      <c r="B88" s="16">
        <v>16</v>
      </c>
      <c r="E88" s="1" t="s">
        <v>642</v>
      </c>
      <c r="F88" s="1" t="s">
        <v>643</v>
      </c>
      <c r="G88" s="1" t="s">
        <v>644</v>
      </c>
      <c r="H88" s="1" t="s">
        <v>645</v>
      </c>
      <c r="I88" s="1" t="s">
        <v>646</v>
      </c>
      <c r="Y88" s="9" t="s">
        <v>851</v>
      </c>
    </row>
    <row r="89" spans="1:25" ht="409.5" x14ac:dyDescent="0.2">
      <c r="A89" s="1" t="s">
        <v>5</v>
      </c>
      <c r="B89" s="16">
        <v>17</v>
      </c>
      <c r="E89" s="1" t="s">
        <v>647</v>
      </c>
      <c r="F89" s="1" t="s">
        <v>648</v>
      </c>
      <c r="G89" s="1" t="s">
        <v>649</v>
      </c>
      <c r="H89" s="1" t="s">
        <v>650</v>
      </c>
      <c r="I89" s="1" t="s">
        <v>651</v>
      </c>
      <c r="Y89" s="9" t="s">
        <v>852</v>
      </c>
    </row>
    <row r="90" spans="1:25" ht="409.5" x14ac:dyDescent="0.2">
      <c r="A90" s="1" t="s">
        <v>5</v>
      </c>
      <c r="B90" s="16">
        <v>18</v>
      </c>
      <c r="E90" s="1" t="s">
        <v>652</v>
      </c>
      <c r="F90" s="1" t="s">
        <v>653</v>
      </c>
      <c r="G90" s="1" t="s">
        <v>654</v>
      </c>
      <c r="H90" s="1" t="s">
        <v>655</v>
      </c>
      <c r="I90" s="1" t="s">
        <v>656</v>
      </c>
      <c r="Y90" s="9" t="s">
        <v>853</v>
      </c>
    </row>
    <row r="91" spans="1:25" ht="409.5" x14ac:dyDescent="0.2">
      <c r="A91" s="1" t="s">
        <v>5</v>
      </c>
      <c r="B91" s="16">
        <v>19</v>
      </c>
      <c r="E91" s="1" t="s">
        <v>657</v>
      </c>
      <c r="F91" s="1" t="s">
        <v>658</v>
      </c>
      <c r="G91" s="1" t="s">
        <v>659</v>
      </c>
      <c r="H91" s="1" t="s">
        <v>660</v>
      </c>
      <c r="I91" s="1" t="s">
        <v>661</v>
      </c>
      <c r="Y91" s="9" t="s">
        <v>854</v>
      </c>
    </row>
    <row r="92" spans="1:25" ht="409.5" x14ac:dyDescent="0.2">
      <c r="A92" s="1" t="s">
        <v>5</v>
      </c>
      <c r="B92" s="16">
        <v>20</v>
      </c>
      <c r="C92" s="1" t="s">
        <v>301</v>
      </c>
      <c r="E92" s="1" t="s">
        <v>662</v>
      </c>
      <c r="F92" s="1" t="s">
        <v>262</v>
      </c>
      <c r="G92" s="1" t="s">
        <v>262</v>
      </c>
      <c r="H92" s="1" t="s">
        <v>262</v>
      </c>
      <c r="I92" s="1" t="s">
        <v>262</v>
      </c>
      <c r="Y92" s="9" t="s">
        <v>855</v>
      </c>
    </row>
    <row r="93" spans="1:25" ht="409.5" x14ac:dyDescent="0.2">
      <c r="A93" s="1" t="s">
        <v>5</v>
      </c>
      <c r="B93" s="16">
        <v>21</v>
      </c>
      <c r="E93" s="1" t="s">
        <v>663</v>
      </c>
      <c r="F93" s="1" t="s">
        <v>664</v>
      </c>
      <c r="G93" s="1" t="s">
        <v>665</v>
      </c>
      <c r="H93" s="1" t="s">
        <v>666</v>
      </c>
      <c r="I93" s="1" t="s">
        <v>667</v>
      </c>
      <c r="Y93" s="9" t="s">
        <v>856</v>
      </c>
    </row>
    <row r="94" spans="1:25" ht="409.5" x14ac:dyDescent="0.2">
      <c r="A94" s="1" t="s">
        <v>5</v>
      </c>
      <c r="B94" s="16">
        <v>22</v>
      </c>
      <c r="E94" s="1" t="s">
        <v>668</v>
      </c>
      <c r="F94" s="1" t="s">
        <v>669</v>
      </c>
      <c r="G94" s="1" t="s">
        <v>670</v>
      </c>
      <c r="H94" s="1" t="s">
        <v>671</v>
      </c>
      <c r="I94" s="1" t="s">
        <v>672</v>
      </c>
      <c r="Y94" s="9" t="s">
        <v>857</v>
      </c>
    </row>
    <row r="95" spans="1:25" ht="409.5" x14ac:dyDescent="0.2">
      <c r="A95" s="1" t="s">
        <v>5</v>
      </c>
      <c r="B95" s="16">
        <v>23</v>
      </c>
      <c r="E95" s="1" t="s">
        <v>673</v>
      </c>
      <c r="F95" s="1" t="s">
        <v>674</v>
      </c>
      <c r="G95" s="1" t="s">
        <v>675</v>
      </c>
      <c r="H95" s="1" t="s">
        <v>676</v>
      </c>
      <c r="I95" s="1" t="s">
        <v>677</v>
      </c>
      <c r="Y95" s="9" t="s">
        <v>858</v>
      </c>
    </row>
    <row r="96" spans="1:25" ht="409.5" x14ac:dyDescent="0.2">
      <c r="A96" s="1" t="s">
        <v>5</v>
      </c>
      <c r="B96" s="16">
        <v>24</v>
      </c>
      <c r="C96" s="1" t="s">
        <v>679</v>
      </c>
      <c r="E96" s="1" t="s">
        <v>678</v>
      </c>
      <c r="F96" s="1" t="s">
        <v>262</v>
      </c>
      <c r="G96" s="1" t="s">
        <v>262</v>
      </c>
      <c r="H96" s="1" t="s">
        <v>262</v>
      </c>
      <c r="I96" s="1" t="s">
        <v>262</v>
      </c>
      <c r="Y96" s="9" t="s">
        <v>859</v>
      </c>
    </row>
    <row r="97" spans="1:25" ht="409.5" x14ac:dyDescent="0.2">
      <c r="A97" s="1" t="s">
        <v>5</v>
      </c>
      <c r="B97" s="16">
        <v>25</v>
      </c>
      <c r="E97" s="1" t="s">
        <v>680</v>
      </c>
      <c r="F97" s="1" t="s">
        <v>681</v>
      </c>
      <c r="G97" s="1" t="s">
        <v>682</v>
      </c>
      <c r="H97" s="1" t="s">
        <v>683</v>
      </c>
      <c r="I97" s="1" t="s">
        <v>684</v>
      </c>
      <c r="Y97" s="9" t="s">
        <v>860</v>
      </c>
    </row>
    <row r="98" spans="1:25" ht="409.5" x14ac:dyDescent="0.2">
      <c r="A98" s="1" t="s">
        <v>5</v>
      </c>
      <c r="B98" s="16">
        <v>26</v>
      </c>
      <c r="E98" s="1" t="s">
        <v>685</v>
      </c>
      <c r="F98" s="1" t="s">
        <v>686</v>
      </c>
      <c r="G98" s="1" t="s">
        <v>687</v>
      </c>
      <c r="H98" s="1" t="s">
        <v>688</v>
      </c>
      <c r="I98" s="1" t="s">
        <v>689</v>
      </c>
      <c r="Y98" s="9" t="s">
        <v>861</v>
      </c>
    </row>
    <row r="99" spans="1:25" ht="409.5" x14ac:dyDescent="0.2">
      <c r="A99" s="1" t="s">
        <v>5</v>
      </c>
      <c r="B99" s="16">
        <v>27</v>
      </c>
      <c r="E99" s="1" t="s">
        <v>690</v>
      </c>
      <c r="F99" s="1" t="s">
        <v>691</v>
      </c>
      <c r="G99" s="1" t="s">
        <v>692</v>
      </c>
      <c r="H99" s="1" t="s">
        <v>693</v>
      </c>
      <c r="I99" s="1" t="s">
        <v>694</v>
      </c>
      <c r="Y99" s="9" t="s">
        <v>862</v>
      </c>
    </row>
    <row r="100" spans="1:25" ht="409.5" x14ac:dyDescent="0.2">
      <c r="A100" s="1" t="s">
        <v>5</v>
      </c>
      <c r="B100" s="16">
        <v>28</v>
      </c>
      <c r="E100" s="1" t="s">
        <v>695</v>
      </c>
      <c r="F100" s="1" t="s">
        <v>696</v>
      </c>
      <c r="G100" s="1" t="s">
        <v>697</v>
      </c>
      <c r="H100" s="1" t="s">
        <v>698</v>
      </c>
      <c r="I100" s="1" t="s">
        <v>699</v>
      </c>
      <c r="Y100" s="9" t="s">
        <v>863</v>
      </c>
    </row>
    <row r="101" spans="1:25" ht="409.5" x14ac:dyDescent="0.2">
      <c r="A101" s="1" t="s">
        <v>5</v>
      </c>
      <c r="B101" s="16">
        <v>29</v>
      </c>
      <c r="E101" s="1" t="s">
        <v>700</v>
      </c>
      <c r="F101" s="1" t="s">
        <v>701</v>
      </c>
      <c r="G101" s="1" t="s">
        <v>702</v>
      </c>
      <c r="H101" s="1" t="s">
        <v>703</v>
      </c>
      <c r="I101" s="1" t="s">
        <v>704</v>
      </c>
      <c r="Y101" s="9" t="s">
        <v>864</v>
      </c>
    </row>
    <row r="102" spans="1:25" ht="409.5" x14ac:dyDescent="0.2">
      <c r="A102" s="1" t="s">
        <v>5</v>
      </c>
      <c r="B102" s="16">
        <v>30</v>
      </c>
      <c r="C102" s="1" t="s">
        <v>710</v>
      </c>
      <c r="E102" s="1" t="s">
        <v>705</v>
      </c>
      <c r="F102" s="1" t="s">
        <v>706</v>
      </c>
      <c r="G102" s="1" t="s">
        <v>707</v>
      </c>
      <c r="H102" s="1" t="s">
        <v>708</v>
      </c>
      <c r="I102" s="1" t="s">
        <v>709</v>
      </c>
      <c r="Y102" s="9" t="s">
        <v>865</v>
      </c>
    </row>
    <row r="103" spans="1:25" ht="409.5" x14ac:dyDescent="0.2">
      <c r="A103" s="1" t="s">
        <v>5</v>
      </c>
      <c r="B103" s="16">
        <v>31</v>
      </c>
      <c r="E103" s="1" t="s">
        <v>711</v>
      </c>
      <c r="F103" s="1" t="s">
        <v>712</v>
      </c>
      <c r="G103" s="1" t="s">
        <v>713</v>
      </c>
      <c r="H103" s="1" t="s">
        <v>714</v>
      </c>
      <c r="I103" s="1" t="s">
        <v>715</v>
      </c>
      <c r="Y103" s="9" t="s">
        <v>866</v>
      </c>
    </row>
    <row r="104" spans="1:25" ht="409.5" x14ac:dyDescent="0.2">
      <c r="A104" s="1" t="s">
        <v>5</v>
      </c>
      <c r="B104" s="16">
        <v>32</v>
      </c>
      <c r="E104" s="1" t="s">
        <v>716</v>
      </c>
      <c r="F104" s="1" t="s">
        <v>717</v>
      </c>
      <c r="G104" s="1" t="s">
        <v>718</v>
      </c>
      <c r="H104" s="1" t="s">
        <v>719</v>
      </c>
      <c r="I104" s="1" t="s">
        <v>720</v>
      </c>
      <c r="Y104" s="9" t="s">
        <v>867</v>
      </c>
    </row>
    <row r="105" spans="1:25" ht="409.5" x14ac:dyDescent="0.2">
      <c r="A105" s="1" t="s">
        <v>5</v>
      </c>
      <c r="B105" s="16">
        <v>33</v>
      </c>
      <c r="E105" s="1" t="s">
        <v>721</v>
      </c>
      <c r="F105" s="1" t="s">
        <v>722</v>
      </c>
      <c r="G105" s="1" t="s">
        <v>723</v>
      </c>
      <c r="H105" s="1" t="s">
        <v>724</v>
      </c>
      <c r="I105" s="1" t="s">
        <v>725</v>
      </c>
      <c r="Y105" s="9" t="s">
        <v>868</v>
      </c>
    </row>
    <row r="106" spans="1:25" ht="409.5" x14ac:dyDescent="0.2">
      <c r="A106" s="1" t="s">
        <v>5</v>
      </c>
      <c r="B106" s="16">
        <v>34</v>
      </c>
      <c r="E106" s="1" t="s">
        <v>726</v>
      </c>
      <c r="F106" s="1" t="s">
        <v>727</v>
      </c>
      <c r="G106" s="1" t="s">
        <v>728</v>
      </c>
      <c r="H106" s="1" t="s">
        <v>729</v>
      </c>
      <c r="I106" s="1" t="s">
        <v>730</v>
      </c>
      <c r="Y106" s="9" t="s">
        <v>869</v>
      </c>
    </row>
    <row r="107" spans="1:25" ht="409.5" x14ac:dyDescent="0.2">
      <c r="A107" s="1" t="s">
        <v>5</v>
      </c>
      <c r="B107" s="16">
        <v>35</v>
      </c>
      <c r="E107" s="1" t="s">
        <v>731</v>
      </c>
      <c r="F107" s="1" t="s">
        <v>732</v>
      </c>
      <c r="G107" s="1" t="s">
        <v>733</v>
      </c>
      <c r="H107" s="1" t="s">
        <v>734</v>
      </c>
      <c r="I107" s="1" t="s">
        <v>735</v>
      </c>
      <c r="Y107" s="9" t="s">
        <v>870</v>
      </c>
    </row>
    <row r="108" spans="1:25" ht="409.5" x14ac:dyDescent="0.2">
      <c r="A108" s="1" t="s">
        <v>5</v>
      </c>
      <c r="B108" s="16">
        <v>36</v>
      </c>
      <c r="C108" s="1" t="s">
        <v>741</v>
      </c>
      <c r="E108" s="1" t="s">
        <v>736</v>
      </c>
      <c r="F108" s="1" t="s">
        <v>737</v>
      </c>
      <c r="G108" s="1" t="s">
        <v>738</v>
      </c>
      <c r="H108" s="1" t="s">
        <v>739</v>
      </c>
      <c r="I108" s="1" t="s">
        <v>740</v>
      </c>
      <c r="Y108" s="9" t="s">
        <v>871</v>
      </c>
    </row>
    <row r="109" spans="1:25" ht="409.5" x14ac:dyDescent="0.2">
      <c r="A109" s="1" t="s">
        <v>5</v>
      </c>
      <c r="B109" s="16">
        <v>37</v>
      </c>
      <c r="E109" s="1" t="s">
        <v>742</v>
      </c>
      <c r="F109" s="1" t="s">
        <v>743</v>
      </c>
      <c r="G109" s="1" t="s">
        <v>744</v>
      </c>
      <c r="H109" s="1" t="s">
        <v>745</v>
      </c>
      <c r="I109" s="1" t="s">
        <v>746</v>
      </c>
      <c r="Y109" s="9" t="s">
        <v>872</v>
      </c>
    </row>
    <row r="110" spans="1:25" ht="409.5" x14ac:dyDescent="0.2">
      <c r="A110" s="1" t="s">
        <v>5</v>
      </c>
      <c r="B110" s="16">
        <v>38</v>
      </c>
      <c r="E110" s="1" t="s">
        <v>747</v>
      </c>
      <c r="F110" s="1" t="s">
        <v>748</v>
      </c>
      <c r="G110" s="1" t="s">
        <v>749</v>
      </c>
      <c r="H110" s="1" t="s">
        <v>750</v>
      </c>
      <c r="I110" s="1" t="s">
        <v>751</v>
      </c>
      <c r="Y110" s="9" t="s">
        <v>873</v>
      </c>
    </row>
    <row r="111" spans="1:25" ht="409.5" x14ac:dyDescent="0.2">
      <c r="A111" s="1" t="s">
        <v>5</v>
      </c>
      <c r="B111" s="16">
        <v>39</v>
      </c>
      <c r="C111" s="1" t="s">
        <v>301</v>
      </c>
      <c r="E111" s="1" t="s">
        <v>752</v>
      </c>
      <c r="F111" s="1" t="s">
        <v>753</v>
      </c>
      <c r="G111" s="1" t="s">
        <v>754</v>
      </c>
      <c r="H111" s="1" t="s">
        <v>755</v>
      </c>
      <c r="I111" s="1" t="s">
        <v>756</v>
      </c>
      <c r="Y111" s="9" t="s">
        <v>874</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
  <sheetViews>
    <sheetView tabSelected="1" workbookViewId="0">
      <selection activeCell="D15" sqref="D1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5" width="7.42578125" style="2" customWidth="1"/>
    <col min="6" max="6" width="6" style="2" customWidth="1" collapsed="1"/>
    <col min="7" max="7" width="9.7109375" style="2" customWidth="1" collapsed="1"/>
    <col min="8" max="16384" width="9.140625" style="2" collapsed="1"/>
  </cols>
  <sheetData>
    <row r="1" spans="1:7" s="13" customFormat="1" x14ac:dyDescent="0.2">
      <c r="A1" s="11" t="s">
        <v>34</v>
      </c>
      <c r="B1" s="12" t="s">
        <v>24</v>
      </c>
      <c r="C1" s="11" t="s">
        <v>29</v>
      </c>
      <c r="D1" s="11" t="s">
        <v>76</v>
      </c>
      <c r="E1" s="11" t="s">
        <v>762</v>
      </c>
      <c r="F1" s="12" t="s">
        <v>25</v>
      </c>
      <c r="G1" s="12" t="s">
        <v>26</v>
      </c>
    </row>
    <row r="2" spans="1:7" x14ac:dyDescent="0.2">
      <c r="A2" s="2" t="s">
        <v>27</v>
      </c>
      <c r="B2" s="2" t="s">
        <v>28</v>
      </c>
      <c r="C2" s="2" t="s">
        <v>33</v>
      </c>
      <c r="D2" s="2" t="s">
        <v>77</v>
      </c>
      <c r="E2" s="2">
        <v>25</v>
      </c>
      <c r="F2" s="2">
        <v>11</v>
      </c>
      <c r="G2" s="2" t="s">
        <v>879</v>
      </c>
    </row>
    <row r="3" spans="1:7" x14ac:dyDescent="0.2">
      <c r="A3" s="2" t="s">
        <v>27</v>
      </c>
      <c r="B3" s="2" t="s">
        <v>4</v>
      </c>
      <c r="C3" s="2" t="s">
        <v>31</v>
      </c>
      <c r="D3" s="2" t="s">
        <v>78</v>
      </c>
      <c r="E3" s="2">
        <v>8</v>
      </c>
      <c r="F3" s="2">
        <v>3</v>
      </c>
      <c r="G3" s="2" t="s">
        <v>877</v>
      </c>
    </row>
    <row r="4" spans="1:7" x14ac:dyDescent="0.2">
      <c r="A4" s="2" t="s">
        <v>27</v>
      </c>
      <c r="B4" s="2" t="s">
        <v>5</v>
      </c>
      <c r="C4" s="2" t="s">
        <v>32</v>
      </c>
      <c r="D4" s="2" t="s">
        <v>79</v>
      </c>
      <c r="E4" s="2">
        <v>11</v>
      </c>
      <c r="F4" s="2">
        <v>4</v>
      </c>
      <c r="G4" s="2" t="s">
        <v>878</v>
      </c>
    </row>
    <row r="5" spans="1:7" x14ac:dyDescent="0.2">
      <c r="A5" s="2" t="s">
        <v>27</v>
      </c>
      <c r="B5" s="2" t="s">
        <v>3</v>
      </c>
      <c r="C5" s="2" t="s">
        <v>30</v>
      </c>
      <c r="D5" s="2" t="s">
        <v>80</v>
      </c>
      <c r="E5" s="2">
        <v>6</v>
      </c>
      <c r="F5" s="2">
        <v>4</v>
      </c>
      <c r="G5" s="2" t="s">
        <v>876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59"/>
  <sheetViews>
    <sheetView workbookViewId="0">
      <selection activeCell="G18" sqref="G18"/>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7" t="s">
        <v>215</v>
      </c>
      <c r="B1" s="17" t="s">
        <v>2</v>
      </c>
      <c r="C1" s="17" t="s">
        <v>759</v>
      </c>
      <c r="D1" s="17" t="s">
        <v>760</v>
      </c>
      <c r="E1" s="17" t="s">
        <v>83</v>
      </c>
      <c r="F1" s="17" t="s">
        <v>761</v>
      </c>
    </row>
    <row r="2" spans="1:6" x14ac:dyDescent="0.2">
      <c r="A2" s="2" t="s">
        <v>27</v>
      </c>
      <c r="B2" s="2" t="s">
        <v>3</v>
      </c>
      <c r="C2" s="2">
        <v>0</v>
      </c>
      <c r="D2" s="2">
        <v>0.1</v>
      </c>
      <c r="E2" s="2">
        <v>1</v>
      </c>
      <c r="F2" s="2" t="str">
        <f>IF(RIGHT(ROUND(D2,0),2)="13",ROUND(D2,0)&amp;"th",IF(RIGHT(ROUND(D2,0),2)="12",ROUND(D2,0)&amp;"th",IF(RIGHT(ROUND(D2,0),2)="11",ROUND(D2,0)&amp;"th",IF(RIGHT(ROUND(D2,0),1)="1",ROUND(D2,0)&amp;"st",IF(RIGHT(ROUND(D2,0),1)="2",ROUND(D2,0)&amp;"nd",IF(RIGHT(ROUND(D2,0),1)="3",ROUND(D2,0)&amp;"rd",ROUND(D2,0)&amp;"th"))))))</f>
        <v>0th</v>
      </c>
    </row>
    <row r="3" spans="1:6" x14ac:dyDescent="0.2">
      <c r="A3" s="2" t="s">
        <v>27</v>
      </c>
      <c r="B3" s="2" t="s">
        <v>3</v>
      </c>
      <c r="C3" s="2">
        <v>1</v>
      </c>
      <c r="D3" s="2">
        <v>0.3</v>
      </c>
      <c r="E3" s="2">
        <v>2</v>
      </c>
      <c r="F3" s="2" t="str">
        <f t="shared" ref="F3:F66" si="0">IF(RIGHT(ROUND(D3,0),2)="13",ROUND(D3,0)&amp;"th",IF(RIGHT(ROUND(D3,0),2)="12",ROUND(D3,0)&amp;"th",IF(RIGHT(ROUND(D3,0),2)="11",ROUND(D3,0)&amp;"th",IF(RIGHT(ROUND(D3,0),1)="1",ROUND(D3,0)&amp;"st",IF(RIGHT(ROUND(D3,0),1)="2",ROUND(D3,0)&amp;"nd",IF(RIGHT(ROUND(D3,0),1)="3",ROUND(D3,0)&amp;"rd",ROUND(D3,0)&amp;"th"))))))</f>
        <v>0th</v>
      </c>
    </row>
    <row r="4" spans="1:6" x14ac:dyDescent="0.2">
      <c r="A4" s="2" t="s">
        <v>27</v>
      </c>
      <c r="B4" s="2" t="s">
        <v>3</v>
      </c>
      <c r="C4" s="2">
        <v>2</v>
      </c>
      <c r="D4" s="2">
        <v>0.3</v>
      </c>
      <c r="E4" s="2">
        <v>2</v>
      </c>
      <c r="F4" s="2" t="str">
        <f t="shared" si="0"/>
        <v>0th</v>
      </c>
    </row>
    <row r="5" spans="1:6" x14ac:dyDescent="0.2">
      <c r="A5" s="2" t="s">
        <v>27</v>
      </c>
      <c r="B5" s="2" t="s">
        <v>3</v>
      </c>
      <c r="C5" s="2">
        <v>3</v>
      </c>
      <c r="D5" s="2">
        <v>1.2</v>
      </c>
      <c r="E5" s="2">
        <v>3</v>
      </c>
      <c r="F5" s="2" t="str">
        <f t="shared" si="0"/>
        <v>1st</v>
      </c>
    </row>
    <row r="6" spans="1:6" x14ac:dyDescent="0.2">
      <c r="A6" s="2" t="s">
        <v>27</v>
      </c>
      <c r="B6" s="2" t="s">
        <v>3</v>
      </c>
      <c r="C6" s="2">
        <v>4</v>
      </c>
      <c r="D6" s="2">
        <v>3.4</v>
      </c>
      <c r="E6" s="2">
        <v>4</v>
      </c>
      <c r="F6" s="2" t="str">
        <f t="shared" si="0"/>
        <v>3rd</v>
      </c>
    </row>
    <row r="7" spans="1:6" x14ac:dyDescent="0.2">
      <c r="A7" s="2" t="s">
        <v>27</v>
      </c>
      <c r="B7" s="2" t="s">
        <v>3</v>
      </c>
      <c r="C7" s="2">
        <v>5</v>
      </c>
      <c r="D7" s="2">
        <v>3.4</v>
      </c>
      <c r="E7" s="2">
        <v>4</v>
      </c>
      <c r="F7" s="2" t="str">
        <f t="shared" si="0"/>
        <v>3rd</v>
      </c>
    </row>
    <row r="8" spans="1:6" x14ac:dyDescent="0.2">
      <c r="A8" s="2" t="s">
        <v>27</v>
      </c>
      <c r="B8" s="2" t="s">
        <v>3</v>
      </c>
      <c r="C8" s="2">
        <v>6</v>
      </c>
      <c r="D8" s="2">
        <v>3.4</v>
      </c>
      <c r="E8" s="2">
        <v>4</v>
      </c>
      <c r="F8" s="2" t="str">
        <f t="shared" si="0"/>
        <v>3rd</v>
      </c>
    </row>
    <row r="9" spans="1:6" x14ac:dyDescent="0.2">
      <c r="A9" s="2" t="s">
        <v>27</v>
      </c>
      <c r="B9" s="2" t="s">
        <v>3</v>
      </c>
      <c r="C9" s="2">
        <v>7</v>
      </c>
      <c r="D9" s="2">
        <v>3.4</v>
      </c>
      <c r="E9" s="2">
        <v>4</v>
      </c>
      <c r="F9" s="2" t="str">
        <f t="shared" si="0"/>
        <v>3rd</v>
      </c>
    </row>
    <row r="10" spans="1:6" x14ac:dyDescent="0.2">
      <c r="A10" s="2" t="s">
        <v>27</v>
      </c>
      <c r="B10" s="2" t="s">
        <v>3</v>
      </c>
      <c r="C10" s="2">
        <v>8</v>
      </c>
      <c r="D10" s="2">
        <v>3.4</v>
      </c>
      <c r="E10" s="2">
        <v>4</v>
      </c>
      <c r="F10" s="2" t="str">
        <f t="shared" si="0"/>
        <v>3rd</v>
      </c>
    </row>
    <row r="11" spans="1:6" x14ac:dyDescent="0.2">
      <c r="A11" s="2" t="s">
        <v>27</v>
      </c>
      <c r="B11" s="2" t="s">
        <v>3</v>
      </c>
      <c r="C11" s="2">
        <v>9</v>
      </c>
      <c r="D11" s="2">
        <v>8.1</v>
      </c>
      <c r="E11" s="2">
        <v>5</v>
      </c>
      <c r="F11" s="2" t="str">
        <f t="shared" si="0"/>
        <v>8th</v>
      </c>
    </row>
    <row r="12" spans="1:6" x14ac:dyDescent="0.2">
      <c r="A12" s="2" t="s">
        <v>27</v>
      </c>
      <c r="B12" s="2" t="s">
        <v>3</v>
      </c>
      <c r="C12" s="2">
        <v>10</v>
      </c>
      <c r="D12" s="2">
        <v>8.1</v>
      </c>
      <c r="E12" s="2">
        <v>5</v>
      </c>
      <c r="F12" s="2" t="str">
        <f t="shared" si="0"/>
        <v>8th</v>
      </c>
    </row>
    <row r="13" spans="1:6" x14ac:dyDescent="0.2">
      <c r="A13" s="2" t="s">
        <v>27</v>
      </c>
      <c r="B13" s="2" t="s">
        <v>3</v>
      </c>
      <c r="C13" s="2">
        <v>11</v>
      </c>
      <c r="D13" s="2">
        <v>8.1</v>
      </c>
      <c r="E13" s="2">
        <v>5</v>
      </c>
      <c r="F13" s="2" t="str">
        <f t="shared" si="0"/>
        <v>8th</v>
      </c>
    </row>
    <row r="14" spans="1:6" x14ac:dyDescent="0.2">
      <c r="A14" s="2" t="s">
        <v>27</v>
      </c>
      <c r="B14" s="2" t="s">
        <v>3</v>
      </c>
      <c r="C14" s="2">
        <v>12</v>
      </c>
      <c r="D14" s="2">
        <v>17.399999999999999</v>
      </c>
      <c r="E14" s="2">
        <v>6</v>
      </c>
      <c r="F14" s="2" t="str">
        <f t="shared" si="0"/>
        <v>17th</v>
      </c>
    </row>
    <row r="15" spans="1:6" x14ac:dyDescent="0.2">
      <c r="A15" s="2" t="s">
        <v>27</v>
      </c>
      <c r="B15" s="2" t="s">
        <v>3</v>
      </c>
      <c r="C15" s="2">
        <v>13</v>
      </c>
      <c r="D15" s="2">
        <v>17.399999999999999</v>
      </c>
      <c r="E15" s="2">
        <v>6</v>
      </c>
      <c r="F15" s="2" t="str">
        <f t="shared" si="0"/>
        <v>17th</v>
      </c>
    </row>
    <row r="16" spans="1:6" x14ac:dyDescent="0.2">
      <c r="A16" s="2" t="s">
        <v>27</v>
      </c>
      <c r="B16" s="2" t="s">
        <v>3</v>
      </c>
      <c r="C16" s="2">
        <v>14</v>
      </c>
      <c r="D16" s="2">
        <v>17.399999999999999</v>
      </c>
      <c r="E16" s="2">
        <v>6</v>
      </c>
      <c r="F16" s="2" t="str">
        <f t="shared" si="0"/>
        <v>17th</v>
      </c>
    </row>
    <row r="17" spans="1:6" x14ac:dyDescent="0.2">
      <c r="A17" s="2" t="s">
        <v>27</v>
      </c>
      <c r="B17" s="2" t="s">
        <v>3</v>
      </c>
      <c r="C17" s="2">
        <v>15</v>
      </c>
      <c r="D17" s="2">
        <v>17.399999999999999</v>
      </c>
      <c r="E17" s="2">
        <v>6</v>
      </c>
      <c r="F17" s="2" t="str">
        <f t="shared" si="0"/>
        <v>17th</v>
      </c>
    </row>
    <row r="18" spans="1:6" x14ac:dyDescent="0.2">
      <c r="A18" s="2" t="s">
        <v>27</v>
      </c>
      <c r="B18" s="2" t="s">
        <v>3</v>
      </c>
      <c r="C18" s="2">
        <v>16</v>
      </c>
      <c r="D18" s="2">
        <v>31</v>
      </c>
      <c r="E18" s="2">
        <v>7</v>
      </c>
      <c r="F18" s="2" t="str">
        <f t="shared" si="0"/>
        <v>31st</v>
      </c>
    </row>
    <row r="19" spans="1:6" x14ac:dyDescent="0.2">
      <c r="A19" s="2" t="s">
        <v>27</v>
      </c>
      <c r="B19" s="2" t="s">
        <v>3</v>
      </c>
      <c r="C19" s="2">
        <v>17</v>
      </c>
      <c r="D19" s="2">
        <v>31</v>
      </c>
      <c r="E19" s="2">
        <v>7</v>
      </c>
      <c r="F19" s="2" t="str">
        <f t="shared" si="0"/>
        <v>31st</v>
      </c>
    </row>
    <row r="20" spans="1:6" x14ac:dyDescent="0.2">
      <c r="A20" s="2" t="s">
        <v>27</v>
      </c>
      <c r="B20" s="2" t="s">
        <v>3</v>
      </c>
      <c r="C20" s="2">
        <v>18</v>
      </c>
      <c r="D20" s="2">
        <v>31</v>
      </c>
      <c r="E20" s="2">
        <v>7</v>
      </c>
      <c r="F20" s="2" t="str">
        <f t="shared" si="0"/>
        <v>31st</v>
      </c>
    </row>
    <row r="21" spans="1:6" x14ac:dyDescent="0.2">
      <c r="A21" s="2" t="s">
        <v>27</v>
      </c>
      <c r="B21" s="2" t="s">
        <v>3</v>
      </c>
      <c r="C21" s="2">
        <v>19</v>
      </c>
      <c r="D21" s="2">
        <v>47.6</v>
      </c>
      <c r="E21" s="2">
        <v>8</v>
      </c>
      <c r="F21" s="2" t="str">
        <f t="shared" si="0"/>
        <v>48th</v>
      </c>
    </row>
    <row r="22" spans="1:6" x14ac:dyDescent="0.2">
      <c r="A22" s="2" t="s">
        <v>27</v>
      </c>
      <c r="B22" s="2" t="s">
        <v>3</v>
      </c>
      <c r="C22" s="2">
        <v>20</v>
      </c>
      <c r="D22" s="2">
        <v>47.6</v>
      </c>
      <c r="E22" s="2">
        <v>8</v>
      </c>
      <c r="F22" s="2" t="str">
        <f t="shared" si="0"/>
        <v>48th</v>
      </c>
    </row>
    <row r="23" spans="1:6" x14ac:dyDescent="0.2">
      <c r="A23" s="2" t="s">
        <v>27</v>
      </c>
      <c r="B23" s="2" t="s">
        <v>3</v>
      </c>
      <c r="C23" s="2">
        <v>21</v>
      </c>
      <c r="D23" s="2">
        <v>61.6</v>
      </c>
      <c r="E23" s="2">
        <v>9</v>
      </c>
      <c r="F23" s="2" t="str">
        <f t="shared" si="0"/>
        <v>62nd</v>
      </c>
    </row>
    <row r="24" spans="1:6" x14ac:dyDescent="0.2">
      <c r="A24" s="2" t="s">
        <v>27</v>
      </c>
      <c r="B24" s="2" t="s">
        <v>3</v>
      </c>
      <c r="C24" s="2">
        <v>22</v>
      </c>
      <c r="D24" s="2">
        <v>61.6</v>
      </c>
      <c r="E24" s="2">
        <v>9</v>
      </c>
      <c r="F24" s="2" t="str">
        <f t="shared" si="0"/>
        <v>62nd</v>
      </c>
    </row>
    <row r="25" spans="1:6" x14ac:dyDescent="0.2">
      <c r="A25" s="2" t="s">
        <v>27</v>
      </c>
      <c r="B25" s="2" t="s">
        <v>3</v>
      </c>
      <c r="C25" s="2">
        <v>23</v>
      </c>
      <c r="D25" s="2">
        <v>61.6</v>
      </c>
      <c r="E25" s="2">
        <v>9</v>
      </c>
      <c r="F25" s="2" t="str">
        <f t="shared" si="0"/>
        <v>62nd</v>
      </c>
    </row>
    <row r="26" spans="1:6" x14ac:dyDescent="0.2">
      <c r="A26" s="2" t="s">
        <v>27</v>
      </c>
      <c r="B26" s="2" t="s">
        <v>3</v>
      </c>
      <c r="C26" s="2">
        <v>24</v>
      </c>
      <c r="D26" s="2">
        <v>74</v>
      </c>
      <c r="E26" s="2">
        <v>10</v>
      </c>
      <c r="F26" s="2" t="str">
        <f t="shared" si="0"/>
        <v>74th</v>
      </c>
    </row>
    <row r="27" spans="1:6" x14ac:dyDescent="0.2">
      <c r="A27" s="2" t="s">
        <v>27</v>
      </c>
      <c r="B27" s="2" t="s">
        <v>3</v>
      </c>
      <c r="C27" s="2">
        <v>25</v>
      </c>
      <c r="D27" s="2">
        <v>74</v>
      </c>
      <c r="E27" s="2">
        <v>10</v>
      </c>
      <c r="F27" s="2" t="str">
        <f t="shared" si="0"/>
        <v>74th</v>
      </c>
    </row>
    <row r="28" spans="1:6" x14ac:dyDescent="0.2">
      <c r="A28" s="2" t="s">
        <v>27</v>
      </c>
      <c r="B28" s="2" t="s">
        <v>3</v>
      </c>
      <c r="C28" s="2">
        <v>26</v>
      </c>
      <c r="D28" s="2">
        <v>84.8</v>
      </c>
      <c r="E28" s="2">
        <v>11</v>
      </c>
      <c r="F28" s="2" t="str">
        <f t="shared" si="0"/>
        <v>85th</v>
      </c>
    </row>
    <row r="29" spans="1:6" x14ac:dyDescent="0.2">
      <c r="A29" s="2" t="s">
        <v>27</v>
      </c>
      <c r="B29" s="2" t="s">
        <v>3</v>
      </c>
      <c r="C29" s="2">
        <v>27</v>
      </c>
      <c r="D29" s="2">
        <v>84.8</v>
      </c>
      <c r="E29" s="2">
        <v>11</v>
      </c>
      <c r="F29" s="2" t="str">
        <f t="shared" si="0"/>
        <v>85th</v>
      </c>
    </row>
    <row r="30" spans="1:6" x14ac:dyDescent="0.2">
      <c r="A30" s="2" t="s">
        <v>27</v>
      </c>
      <c r="B30" s="2" t="s">
        <v>3</v>
      </c>
      <c r="C30" s="2">
        <v>28</v>
      </c>
      <c r="D30" s="2">
        <v>91.9</v>
      </c>
      <c r="E30" s="2">
        <v>12</v>
      </c>
      <c r="F30" s="2" t="str">
        <f t="shared" si="0"/>
        <v>92nd</v>
      </c>
    </row>
    <row r="31" spans="1:6" x14ac:dyDescent="0.2">
      <c r="A31" s="2" t="s">
        <v>27</v>
      </c>
      <c r="B31" s="2" t="s">
        <v>3</v>
      </c>
      <c r="C31" s="2">
        <v>29</v>
      </c>
      <c r="D31" s="2">
        <v>91.9</v>
      </c>
      <c r="E31" s="2">
        <v>12</v>
      </c>
      <c r="F31" s="2" t="str">
        <f t="shared" si="0"/>
        <v>92nd</v>
      </c>
    </row>
    <row r="32" spans="1:6" x14ac:dyDescent="0.2">
      <c r="A32" s="2" t="s">
        <v>27</v>
      </c>
      <c r="B32" s="2" t="s">
        <v>3</v>
      </c>
      <c r="C32" s="2">
        <v>30</v>
      </c>
      <c r="D32" s="2">
        <v>91.9</v>
      </c>
      <c r="E32" s="2">
        <v>12</v>
      </c>
      <c r="F32" s="2" t="str">
        <f t="shared" si="0"/>
        <v>92nd</v>
      </c>
    </row>
    <row r="33" spans="1:6" x14ac:dyDescent="0.2">
      <c r="A33" s="2" t="s">
        <v>27</v>
      </c>
      <c r="B33" s="2" t="s">
        <v>3</v>
      </c>
      <c r="C33" s="2">
        <v>31</v>
      </c>
      <c r="D33" s="2">
        <v>96.4</v>
      </c>
      <c r="E33" s="2">
        <v>13</v>
      </c>
      <c r="F33" s="2" t="str">
        <f t="shared" si="0"/>
        <v>96th</v>
      </c>
    </row>
    <row r="34" spans="1:6" x14ac:dyDescent="0.2">
      <c r="A34" s="2" t="s">
        <v>27</v>
      </c>
      <c r="B34" s="2" t="s">
        <v>3</v>
      </c>
      <c r="C34" s="2">
        <v>32</v>
      </c>
      <c r="D34" s="2">
        <v>96.4</v>
      </c>
      <c r="E34" s="2">
        <v>13</v>
      </c>
      <c r="F34" s="2" t="str">
        <f t="shared" si="0"/>
        <v>96th</v>
      </c>
    </row>
    <row r="35" spans="1:6" x14ac:dyDescent="0.2">
      <c r="A35" s="2" t="s">
        <v>27</v>
      </c>
      <c r="B35" s="2" t="s">
        <v>3</v>
      </c>
      <c r="C35" s="2">
        <v>33</v>
      </c>
      <c r="D35" s="2">
        <v>96.4</v>
      </c>
      <c r="E35" s="2">
        <v>13</v>
      </c>
      <c r="F35" s="2" t="str">
        <f t="shared" si="0"/>
        <v>96th</v>
      </c>
    </row>
    <row r="36" spans="1:6" x14ac:dyDescent="0.2">
      <c r="A36" s="2" t="s">
        <v>27</v>
      </c>
      <c r="B36" s="2" t="s">
        <v>3</v>
      </c>
      <c r="C36" s="2">
        <v>34</v>
      </c>
      <c r="D36" s="2">
        <v>98.9</v>
      </c>
      <c r="E36" s="2">
        <v>14</v>
      </c>
      <c r="F36" s="2" t="str">
        <f t="shared" si="0"/>
        <v>99th</v>
      </c>
    </row>
    <row r="37" spans="1:6" x14ac:dyDescent="0.2">
      <c r="A37" s="2" t="s">
        <v>27</v>
      </c>
      <c r="B37" s="2" t="s">
        <v>3</v>
      </c>
      <c r="C37" s="2">
        <v>35</v>
      </c>
      <c r="D37" s="2">
        <v>98.9</v>
      </c>
      <c r="E37" s="2">
        <v>14</v>
      </c>
      <c r="F37" s="2" t="str">
        <f t="shared" si="0"/>
        <v>99th</v>
      </c>
    </row>
    <row r="38" spans="1:6" x14ac:dyDescent="0.2">
      <c r="A38" s="2" t="s">
        <v>27</v>
      </c>
      <c r="B38" s="2" t="s">
        <v>3</v>
      </c>
      <c r="C38" s="2">
        <v>36</v>
      </c>
      <c r="D38" s="2">
        <v>98.9</v>
      </c>
      <c r="E38" s="2">
        <v>14</v>
      </c>
      <c r="F38" s="2" t="str">
        <f t="shared" si="0"/>
        <v>99th</v>
      </c>
    </row>
    <row r="39" spans="1:6" x14ac:dyDescent="0.2">
      <c r="A39" s="2" t="s">
        <v>27</v>
      </c>
      <c r="B39" s="2" t="s">
        <v>3</v>
      </c>
      <c r="C39" s="2">
        <v>37</v>
      </c>
      <c r="D39" s="2">
        <v>99.8</v>
      </c>
      <c r="E39" s="2">
        <v>15</v>
      </c>
      <c r="F39" s="2" t="str">
        <f t="shared" si="0"/>
        <v>100th</v>
      </c>
    </row>
    <row r="40" spans="1:6" x14ac:dyDescent="0.2">
      <c r="A40" s="2" t="s">
        <v>27</v>
      </c>
      <c r="B40" s="2" t="s">
        <v>3</v>
      </c>
      <c r="C40" s="2">
        <v>38</v>
      </c>
      <c r="D40" s="2">
        <v>99.8</v>
      </c>
      <c r="E40" s="2">
        <v>15</v>
      </c>
      <c r="F40" s="2" t="str">
        <f t="shared" si="0"/>
        <v>100th</v>
      </c>
    </row>
    <row r="41" spans="1:6" x14ac:dyDescent="0.2">
      <c r="A41" s="2" t="s">
        <v>27</v>
      </c>
      <c r="B41" s="2" t="s">
        <v>3</v>
      </c>
      <c r="C41" s="2">
        <v>39</v>
      </c>
      <c r="D41" s="2">
        <v>99.8</v>
      </c>
      <c r="E41" s="2">
        <v>15</v>
      </c>
      <c r="F41" s="2" t="str">
        <f t="shared" si="0"/>
        <v>100th</v>
      </c>
    </row>
    <row r="42" spans="1:6" x14ac:dyDescent="0.2">
      <c r="A42" s="2" t="s">
        <v>27</v>
      </c>
      <c r="B42" s="2" t="s">
        <v>5</v>
      </c>
      <c r="C42" s="2">
        <v>0</v>
      </c>
      <c r="D42" s="2">
        <v>0.3</v>
      </c>
      <c r="E42" s="2">
        <v>1</v>
      </c>
      <c r="F42" s="2" t="str">
        <f t="shared" si="0"/>
        <v>0th</v>
      </c>
    </row>
    <row r="43" spans="1:6" x14ac:dyDescent="0.2">
      <c r="A43" s="2" t="s">
        <v>27</v>
      </c>
      <c r="B43" s="2" t="s">
        <v>5</v>
      </c>
      <c r="C43" s="2">
        <v>1</v>
      </c>
      <c r="D43" s="2">
        <v>0.3</v>
      </c>
      <c r="E43" s="2">
        <v>1</v>
      </c>
      <c r="F43" s="2" t="str">
        <f t="shared" si="0"/>
        <v>0th</v>
      </c>
    </row>
    <row r="44" spans="1:6" x14ac:dyDescent="0.2">
      <c r="A44" s="2" t="s">
        <v>27</v>
      </c>
      <c r="B44" s="2" t="s">
        <v>5</v>
      </c>
      <c r="C44" s="2">
        <v>2</v>
      </c>
      <c r="D44" s="2">
        <v>1.1000000000000001</v>
      </c>
      <c r="E44" s="2">
        <v>2</v>
      </c>
      <c r="F44" s="2" t="str">
        <f t="shared" si="0"/>
        <v>1st</v>
      </c>
    </row>
    <row r="45" spans="1:6" x14ac:dyDescent="0.2">
      <c r="A45" s="2" t="s">
        <v>27</v>
      </c>
      <c r="B45" s="2" t="s">
        <v>5</v>
      </c>
      <c r="C45" s="2">
        <v>3</v>
      </c>
      <c r="D45" s="2">
        <v>1.1000000000000001</v>
      </c>
      <c r="E45" s="2">
        <v>2</v>
      </c>
      <c r="F45" s="2" t="str">
        <f t="shared" si="0"/>
        <v>1st</v>
      </c>
    </row>
    <row r="46" spans="1:6" x14ac:dyDescent="0.2">
      <c r="A46" s="2" t="s">
        <v>27</v>
      </c>
      <c r="B46" s="2" t="s">
        <v>5</v>
      </c>
      <c r="C46" s="2">
        <v>4</v>
      </c>
      <c r="D46" s="2">
        <v>2.4</v>
      </c>
      <c r="E46" s="2">
        <v>3</v>
      </c>
      <c r="F46" s="2" t="str">
        <f t="shared" si="0"/>
        <v>2nd</v>
      </c>
    </row>
    <row r="47" spans="1:6" x14ac:dyDescent="0.2">
      <c r="A47" s="2" t="s">
        <v>27</v>
      </c>
      <c r="B47" s="2" t="s">
        <v>5</v>
      </c>
      <c r="C47" s="2">
        <v>5</v>
      </c>
      <c r="D47" s="2">
        <v>2.4</v>
      </c>
      <c r="E47" s="2">
        <v>3</v>
      </c>
      <c r="F47" s="2" t="str">
        <f t="shared" si="0"/>
        <v>2nd</v>
      </c>
    </row>
    <row r="48" spans="1:6" x14ac:dyDescent="0.2">
      <c r="A48" s="2" t="s">
        <v>27</v>
      </c>
      <c r="B48" s="2" t="s">
        <v>5</v>
      </c>
      <c r="C48" s="2">
        <v>6</v>
      </c>
      <c r="D48" s="2">
        <v>2.4</v>
      </c>
      <c r="E48" s="2">
        <v>3</v>
      </c>
      <c r="F48" s="2" t="str">
        <f t="shared" si="0"/>
        <v>2nd</v>
      </c>
    </row>
    <row r="49" spans="1:6" x14ac:dyDescent="0.2">
      <c r="A49" s="2" t="s">
        <v>27</v>
      </c>
      <c r="B49" s="2" t="s">
        <v>5</v>
      </c>
      <c r="C49" s="2">
        <v>7</v>
      </c>
      <c r="D49" s="2">
        <v>2.4</v>
      </c>
      <c r="E49" s="2">
        <v>3</v>
      </c>
      <c r="F49" s="2" t="str">
        <f t="shared" si="0"/>
        <v>2nd</v>
      </c>
    </row>
    <row r="50" spans="1:6" x14ac:dyDescent="0.2">
      <c r="A50" s="2" t="s">
        <v>27</v>
      </c>
      <c r="B50" s="2" t="s">
        <v>5</v>
      </c>
      <c r="C50" s="2">
        <v>8</v>
      </c>
      <c r="D50" s="2">
        <v>2.4</v>
      </c>
      <c r="E50" s="2">
        <v>3</v>
      </c>
      <c r="F50" s="2" t="str">
        <f t="shared" si="0"/>
        <v>2nd</v>
      </c>
    </row>
    <row r="51" spans="1:6" x14ac:dyDescent="0.2">
      <c r="A51" s="2" t="s">
        <v>27</v>
      </c>
      <c r="B51" s="2" t="s">
        <v>5</v>
      </c>
      <c r="C51" s="2">
        <v>9</v>
      </c>
      <c r="D51" s="2">
        <v>4.9000000000000004</v>
      </c>
      <c r="E51" s="2">
        <v>4</v>
      </c>
      <c r="F51" s="2" t="str">
        <f t="shared" si="0"/>
        <v>5th</v>
      </c>
    </row>
    <row r="52" spans="1:6" x14ac:dyDescent="0.2">
      <c r="A52" s="2" t="s">
        <v>27</v>
      </c>
      <c r="B52" s="2" t="s">
        <v>5</v>
      </c>
      <c r="C52" s="2">
        <v>10</v>
      </c>
      <c r="D52" s="2">
        <v>4.9000000000000004</v>
      </c>
      <c r="E52" s="2">
        <v>4</v>
      </c>
      <c r="F52" s="2" t="str">
        <f t="shared" si="0"/>
        <v>5th</v>
      </c>
    </row>
    <row r="53" spans="1:6" x14ac:dyDescent="0.2">
      <c r="A53" s="2" t="s">
        <v>27</v>
      </c>
      <c r="B53" s="2" t="s">
        <v>5</v>
      </c>
      <c r="C53" s="2">
        <v>11</v>
      </c>
      <c r="D53" s="2">
        <v>4.9000000000000004</v>
      </c>
      <c r="E53" s="2">
        <v>4</v>
      </c>
      <c r="F53" s="2" t="str">
        <f t="shared" si="0"/>
        <v>5th</v>
      </c>
    </row>
    <row r="54" spans="1:6" x14ac:dyDescent="0.2">
      <c r="A54" s="2" t="s">
        <v>27</v>
      </c>
      <c r="B54" s="2" t="s">
        <v>5</v>
      </c>
      <c r="C54" s="2">
        <v>12</v>
      </c>
      <c r="D54" s="2">
        <v>4.9000000000000004</v>
      </c>
      <c r="E54" s="2">
        <v>4</v>
      </c>
      <c r="F54" s="2" t="str">
        <f t="shared" si="0"/>
        <v>5th</v>
      </c>
    </row>
    <row r="55" spans="1:6" x14ac:dyDescent="0.2">
      <c r="A55" s="2" t="s">
        <v>27</v>
      </c>
      <c r="B55" s="2" t="s">
        <v>5</v>
      </c>
      <c r="C55" s="2">
        <v>13</v>
      </c>
      <c r="D55" s="2">
        <v>4.9000000000000004</v>
      </c>
      <c r="E55" s="2">
        <v>4</v>
      </c>
      <c r="F55" s="2" t="str">
        <f t="shared" si="0"/>
        <v>5th</v>
      </c>
    </row>
    <row r="56" spans="1:6" x14ac:dyDescent="0.2">
      <c r="A56" s="2" t="s">
        <v>27</v>
      </c>
      <c r="B56" s="2" t="s">
        <v>5</v>
      </c>
      <c r="C56" s="2">
        <v>14</v>
      </c>
      <c r="D56" s="2">
        <v>8.5</v>
      </c>
      <c r="E56" s="2">
        <v>5</v>
      </c>
      <c r="F56" s="2" t="str">
        <f t="shared" si="0"/>
        <v>9th</v>
      </c>
    </row>
    <row r="57" spans="1:6" x14ac:dyDescent="0.2">
      <c r="A57" s="2" t="s">
        <v>27</v>
      </c>
      <c r="B57" s="2" t="s">
        <v>5</v>
      </c>
      <c r="C57" s="2">
        <v>15</v>
      </c>
      <c r="D57" s="2">
        <v>8.5</v>
      </c>
      <c r="E57" s="2">
        <v>5</v>
      </c>
      <c r="F57" s="2" t="str">
        <f t="shared" si="0"/>
        <v>9th</v>
      </c>
    </row>
    <row r="58" spans="1:6" x14ac:dyDescent="0.2">
      <c r="A58" s="2" t="s">
        <v>27</v>
      </c>
      <c r="B58" s="2" t="s">
        <v>5</v>
      </c>
      <c r="C58" s="2">
        <v>16</v>
      </c>
      <c r="D58" s="2">
        <v>8.5</v>
      </c>
      <c r="E58" s="2">
        <v>5</v>
      </c>
      <c r="F58" s="2" t="str">
        <f t="shared" si="0"/>
        <v>9th</v>
      </c>
    </row>
    <row r="59" spans="1:6" x14ac:dyDescent="0.2">
      <c r="A59" s="2" t="s">
        <v>27</v>
      </c>
      <c r="B59" s="2" t="s">
        <v>5</v>
      </c>
      <c r="C59" s="2">
        <v>17</v>
      </c>
      <c r="D59" s="2">
        <v>14.1</v>
      </c>
      <c r="E59" s="2">
        <v>6</v>
      </c>
      <c r="F59" s="2" t="str">
        <f t="shared" si="0"/>
        <v>14th</v>
      </c>
    </row>
    <row r="60" spans="1:6" x14ac:dyDescent="0.2">
      <c r="A60" s="2" t="s">
        <v>27</v>
      </c>
      <c r="B60" s="2" t="s">
        <v>5</v>
      </c>
      <c r="C60" s="2">
        <v>18</v>
      </c>
      <c r="D60" s="2">
        <v>14.1</v>
      </c>
      <c r="E60" s="2">
        <v>6</v>
      </c>
      <c r="F60" s="2" t="str">
        <f t="shared" si="0"/>
        <v>14th</v>
      </c>
    </row>
    <row r="61" spans="1:6" x14ac:dyDescent="0.2">
      <c r="A61" s="2" t="s">
        <v>27</v>
      </c>
      <c r="B61" s="2" t="s">
        <v>5</v>
      </c>
      <c r="C61" s="2">
        <v>19</v>
      </c>
      <c r="D61" s="2">
        <v>14.1</v>
      </c>
      <c r="E61" s="2">
        <v>6</v>
      </c>
      <c r="F61" s="2" t="str">
        <f t="shared" si="0"/>
        <v>14th</v>
      </c>
    </row>
    <row r="62" spans="1:6" x14ac:dyDescent="0.2">
      <c r="A62" s="2" t="s">
        <v>27</v>
      </c>
      <c r="B62" s="2" t="s">
        <v>5</v>
      </c>
      <c r="C62" s="2">
        <v>20</v>
      </c>
      <c r="D62" s="2">
        <v>21.6</v>
      </c>
      <c r="E62" s="2">
        <v>7</v>
      </c>
      <c r="F62" s="2" t="str">
        <f t="shared" si="0"/>
        <v>22nd</v>
      </c>
    </row>
    <row r="63" spans="1:6" x14ac:dyDescent="0.2">
      <c r="A63" s="2" t="s">
        <v>27</v>
      </c>
      <c r="B63" s="2" t="s">
        <v>5</v>
      </c>
      <c r="C63" s="2">
        <v>21</v>
      </c>
      <c r="D63" s="2">
        <v>21.6</v>
      </c>
      <c r="E63" s="2">
        <v>7</v>
      </c>
      <c r="F63" s="2" t="str">
        <f t="shared" si="0"/>
        <v>22nd</v>
      </c>
    </row>
    <row r="64" spans="1:6" x14ac:dyDescent="0.2">
      <c r="A64" s="2" t="s">
        <v>27</v>
      </c>
      <c r="B64" s="2" t="s">
        <v>5</v>
      </c>
      <c r="C64" s="2">
        <v>22</v>
      </c>
      <c r="D64" s="2">
        <v>21.6</v>
      </c>
      <c r="E64" s="2">
        <v>7</v>
      </c>
      <c r="F64" s="2" t="str">
        <f t="shared" si="0"/>
        <v>22nd</v>
      </c>
    </row>
    <row r="65" spans="1:6" x14ac:dyDescent="0.2">
      <c r="A65" s="2" t="s">
        <v>27</v>
      </c>
      <c r="B65" s="2" t="s">
        <v>5</v>
      </c>
      <c r="C65" s="2">
        <v>23</v>
      </c>
      <c r="D65" s="2">
        <v>33.200000000000003</v>
      </c>
      <c r="E65" s="2">
        <v>8</v>
      </c>
      <c r="F65" s="2" t="str">
        <f t="shared" si="0"/>
        <v>33rd</v>
      </c>
    </row>
    <row r="66" spans="1:6" x14ac:dyDescent="0.2">
      <c r="A66" s="2" t="s">
        <v>27</v>
      </c>
      <c r="B66" s="2" t="s">
        <v>5</v>
      </c>
      <c r="C66" s="2">
        <v>24</v>
      </c>
      <c r="D66" s="2">
        <v>33.200000000000003</v>
      </c>
      <c r="E66" s="2">
        <v>8</v>
      </c>
      <c r="F66" s="2" t="str">
        <f t="shared" si="0"/>
        <v>33rd</v>
      </c>
    </row>
    <row r="67" spans="1:6" x14ac:dyDescent="0.2">
      <c r="A67" s="2" t="s">
        <v>27</v>
      </c>
      <c r="B67" s="2" t="s">
        <v>5</v>
      </c>
      <c r="C67" s="2">
        <v>25</v>
      </c>
      <c r="D67" s="2">
        <v>33.200000000000003</v>
      </c>
      <c r="E67" s="2">
        <v>8</v>
      </c>
      <c r="F67" s="2" t="str">
        <f t="shared" ref="F67:F130" si="1">IF(RIGHT(ROUND(D67,0),2)="13",ROUND(D67,0)&amp;"th",IF(RIGHT(ROUND(D67,0),2)="12",ROUND(D67,0)&amp;"th",IF(RIGHT(ROUND(D67,0),2)="11",ROUND(D67,0)&amp;"th",IF(RIGHT(ROUND(D67,0),1)="1",ROUND(D67,0)&amp;"st",IF(RIGHT(ROUND(D67,0),1)="2",ROUND(D67,0)&amp;"nd",IF(RIGHT(ROUND(D67,0),1)="3",ROUND(D67,0)&amp;"rd",ROUND(D67,0)&amp;"th"))))))</f>
        <v>33rd</v>
      </c>
    </row>
    <row r="68" spans="1:6" x14ac:dyDescent="0.2">
      <c r="A68" s="2" t="s">
        <v>27</v>
      </c>
      <c r="B68" s="2" t="s">
        <v>5</v>
      </c>
      <c r="C68" s="2">
        <v>26</v>
      </c>
      <c r="D68" s="2">
        <v>33.200000000000003</v>
      </c>
      <c r="E68" s="2">
        <v>8</v>
      </c>
      <c r="F68" s="2" t="str">
        <f t="shared" si="1"/>
        <v>33rd</v>
      </c>
    </row>
    <row r="69" spans="1:6" x14ac:dyDescent="0.2">
      <c r="A69" s="2" t="s">
        <v>27</v>
      </c>
      <c r="B69" s="2" t="s">
        <v>5</v>
      </c>
      <c r="C69" s="2">
        <v>27</v>
      </c>
      <c r="D69" s="2">
        <v>49.3</v>
      </c>
      <c r="E69" s="2">
        <v>9</v>
      </c>
      <c r="F69" s="2" t="str">
        <f t="shared" si="1"/>
        <v>49th</v>
      </c>
    </row>
    <row r="70" spans="1:6" x14ac:dyDescent="0.2">
      <c r="A70" s="2" t="s">
        <v>27</v>
      </c>
      <c r="B70" s="2" t="s">
        <v>5</v>
      </c>
      <c r="C70" s="2">
        <v>28</v>
      </c>
      <c r="D70" s="2">
        <v>49.3</v>
      </c>
      <c r="E70" s="2">
        <v>9</v>
      </c>
      <c r="F70" s="2" t="str">
        <f t="shared" si="1"/>
        <v>49th</v>
      </c>
    </row>
    <row r="71" spans="1:6" x14ac:dyDescent="0.2">
      <c r="A71" s="2" t="s">
        <v>27</v>
      </c>
      <c r="B71" s="2" t="s">
        <v>5</v>
      </c>
      <c r="C71" s="2">
        <v>29</v>
      </c>
      <c r="D71" s="2">
        <v>49.3</v>
      </c>
      <c r="E71" s="2">
        <v>9</v>
      </c>
      <c r="F71" s="2" t="str">
        <f t="shared" si="1"/>
        <v>49th</v>
      </c>
    </row>
    <row r="72" spans="1:6" x14ac:dyDescent="0.2">
      <c r="A72" s="2" t="s">
        <v>27</v>
      </c>
      <c r="B72" s="2" t="s">
        <v>5</v>
      </c>
      <c r="C72" s="2">
        <v>30</v>
      </c>
      <c r="D72" s="2">
        <v>66.8</v>
      </c>
      <c r="E72" s="2">
        <v>10</v>
      </c>
      <c r="F72" s="2" t="str">
        <f t="shared" si="1"/>
        <v>67th</v>
      </c>
    </row>
    <row r="73" spans="1:6" x14ac:dyDescent="0.2">
      <c r="A73" s="2" t="s">
        <v>27</v>
      </c>
      <c r="B73" s="2" t="s">
        <v>5</v>
      </c>
      <c r="C73" s="2">
        <v>31</v>
      </c>
      <c r="D73" s="2">
        <v>66.8</v>
      </c>
      <c r="E73" s="2">
        <v>10</v>
      </c>
      <c r="F73" s="2" t="str">
        <f t="shared" si="1"/>
        <v>67th</v>
      </c>
    </row>
    <row r="74" spans="1:6" x14ac:dyDescent="0.2">
      <c r="A74" s="2" t="s">
        <v>27</v>
      </c>
      <c r="B74" s="2" t="s">
        <v>5</v>
      </c>
      <c r="C74" s="2">
        <v>32</v>
      </c>
      <c r="D74" s="2">
        <v>66.8</v>
      </c>
      <c r="E74" s="2">
        <v>10</v>
      </c>
      <c r="F74" s="2" t="str">
        <f t="shared" si="1"/>
        <v>67th</v>
      </c>
    </row>
    <row r="75" spans="1:6" x14ac:dyDescent="0.2">
      <c r="A75" s="2" t="s">
        <v>27</v>
      </c>
      <c r="B75" s="2" t="s">
        <v>5</v>
      </c>
      <c r="C75" s="2">
        <v>33</v>
      </c>
      <c r="D75" s="2">
        <v>81.900000000000006</v>
      </c>
      <c r="E75" s="2">
        <v>11</v>
      </c>
      <c r="F75" s="2" t="str">
        <f t="shared" si="1"/>
        <v>82nd</v>
      </c>
    </row>
    <row r="76" spans="1:6" x14ac:dyDescent="0.2">
      <c r="A76" s="2" t="s">
        <v>27</v>
      </c>
      <c r="B76" s="2" t="s">
        <v>5</v>
      </c>
      <c r="C76" s="2">
        <v>34</v>
      </c>
      <c r="D76" s="2">
        <v>81.900000000000006</v>
      </c>
      <c r="E76" s="2">
        <v>11</v>
      </c>
      <c r="F76" s="2" t="str">
        <f t="shared" si="1"/>
        <v>82nd</v>
      </c>
    </row>
    <row r="77" spans="1:6" x14ac:dyDescent="0.2">
      <c r="A77" s="2" t="s">
        <v>27</v>
      </c>
      <c r="B77" s="2" t="s">
        <v>5</v>
      </c>
      <c r="C77" s="2">
        <v>35</v>
      </c>
      <c r="D77" s="2">
        <v>91.4</v>
      </c>
      <c r="E77" s="2">
        <v>12</v>
      </c>
      <c r="F77" s="2" t="str">
        <f t="shared" si="1"/>
        <v>91st</v>
      </c>
    </row>
    <row r="78" spans="1:6" x14ac:dyDescent="0.2">
      <c r="A78" s="2" t="s">
        <v>27</v>
      </c>
      <c r="B78" s="2" t="s">
        <v>5</v>
      </c>
      <c r="C78" s="2">
        <v>36</v>
      </c>
      <c r="D78" s="2">
        <v>91.4</v>
      </c>
      <c r="E78" s="2">
        <v>12</v>
      </c>
      <c r="F78" s="2" t="str">
        <f t="shared" si="1"/>
        <v>91st</v>
      </c>
    </row>
    <row r="79" spans="1:6" x14ac:dyDescent="0.2">
      <c r="A79" s="2" t="s">
        <v>27</v>
      </c>
      <c r="B79" s="2" t="s">
        <v>5</v>
      </c>
      <c r="C79" s="2">
        <v>37</v>
      </c>
      <c r="D79" s="2">
        <v>96.5</v>
      </c>
      <c r="E79" s="2">
        <v>13</v>
      </c>
      <c r="F79" s="2" t="str">
        <f t="shared" si="1"/>
        <v>97th</v>
      </c>
    </row>
    <row r="80" spans="1:6" x14ac:dyDescent="0.2">
      <c r="A80" s="2" t="s">
        <v>27</v>
      </c>
      <c r="B80" s="2" t="s">
        <v>5</v>
      </c>
      <c r="C80" s="2">
        <v>38</v>
      </c>
      <c r="D80" s="2">
        <v>99</v>
      </c>
      <c r="E80" s="2">
        <v>14</v>
      </c>
      <c r="F80" s="2" t="str">
        <f t="shared" si="1"/>
        <v>99th</v>
      </c>
    </row>
    <row r="81" spans="1:6" x14ac:dyDescent="0.2">
      <c r="A81" s="2" t="s">
        <v>27</v>
      </c>
      <c r="B81" s="2" t="s">
        <v>5</v>
      </c>
      <c r="C81" s="2">
        <v>39</v>
      </c>
      <c r="D81" s="2">
        <v>99.9</v>
      </c>
      <c r="E81" s="2">
        <v>15</v>
      </c>
      <c r="F81" s="2" t="str">
        <f t="shared" si="1"/>
        <v>100th</v>
      </c>
    </row>
    <row r="82" spans="1:6" x14ac:dyDescent="0.2">
      <c r="A82" s="2" t="s">
        <v>27</v>
      </c>
      <c r="B82" s="2" t="s">
        <v>4</v>
      </c>
      <c r="C82" s="2">
        <v>0</v>
      </c>
      <c r="D82" s="2">
        <v>0.4</v>
      </c>
      <c r="E82" s="2">
        <v>1</v>
      </c>
      <c r="F82" s="2" t="str">
        <f t="shared" si="1"/>
        <v>0th</v>
      </c>
    </row>
    <row r="83" spans="1:6" x14ac:dyDescent="0.2">
      <c r="A83" s="2" t="s">
        <v>27</v>
      </c>
      <c r="B83" s="2" t="s">
        <v>4</v>
      </c>
      <c r="C83" s="2">
        <v>1</v>
      </c>
      <c r="D83" s="2">
        <v>0.4</v>
      </c>
      <c r="E83" s="2">
        <v>1</v>
      </c>
      <c r="F83" s="2" t="str">
        <f t="shared" si="1"/>
        <v>0th</v>
      </c>
    </row>
    <row r="84" spans="1:6" x14ac:dyDescent="0.2">
      <c r="A84" s="2" t="s">
        <v>27</v>
      </c>
      <c r="B84" s="2" t="s">
        <v>4</v>
      </c>
      <c r="C84" s="2">
        <v>2</v>
      </c>
      <c r="D84" s="2">
        <v>0.4</v>
      </c>
      <c r="E84" s="2">
        <v>1</v>
      </c>
      <c r="F84" s="2" t="str">
        <f t="shared" si="1"/>
        <v>0th</v>
      </c>
    </row>
    <row r="85" spans="1:6" x14ac:dyDescent="0.2">
      <c r="A85" s="2" t="s">
        <v>27</v>
      </c>
      <c r="B85" s="2" t="s">
        <v>4</v>
      </c>
      <c r="C85" s="2">
        <v>3</v>
      </c>
      <c r="D85" s="2">
        <v>1.8</v>
      </c>
      <c r="E85" s="2">
        <v>2</v>
      </c>
      <c r="F85" s="2" t="str">
        <f t="shared" si="1"/>
        <v>2nd</v>
      </c>
    </row>
    <row r="86" spans="1:6" x14ac:dyDescent="0.2">
      <c r="A86" s="2" t="s">
        <v>27</v>
      </c>
      <c r="B86" s="2" t="s">
        <v>4</v>
      </c>
      <c r="C86" s="2">
        <v>4</v>
      </c>
      <c r="D86" s="2">
        <v>1.8</v>
      </c>
      <c r="E86" s="2">
        <v>2</v>
      </c>
      <c r="F86" s="2" t="str">
        <f t="shared" si="1"/>
        <v>2nd</v>
      </c>
    </row>
    <row r="87" spans="1:6" x14ac:dyDescent="0.2">
      <c r="A87" s="2" t="s">
        <v>27</v>
      </c>
      <c r="B87" s="2" t="s">
        <v>4</v>
      </c>
      <c r="C87" s="2">
        <v>5</v>
      </c>
      <c r="D87" s="2">
        <v>1.8</v>
      </c>
      <c r="E87" s="2">
        <v>2</v>
      </c>
      <c r="F87" s="2" t="str">
        <f t="shared" si="1"/>
        <v>2nd</v>
      </c>
    </row>
    <row r="88" spans="1:6" x14ac:dyDescent="0.2">
      <c r="A88" s="2" t="s">
        <v>27</v>
      </c>
      <c r="B88" s="2" t="s">
        <v>4</v>
      </c>
      <c r="C88" s="2">
        <v>6</v>
      </c>
      <c r="D88" s="2">
        <v>1.8</v>
      </c>
      <c r="E88" s="2">
        <v>2</v>
      </c>
      <c r="F88" s="2" t="str">
        <f t="shared" si="1"/>
        <v>2nd</v>
      </c>
    </row>
    <row r="89" spans="1:6" x14ac:dyDescent="0.2">
      <c r="A89" s="2" t="s">
        <v>27</v>
      </c>
      <c r="B89" s="2" t="s">
        <v>4</v>
      </c>
      <c r="C89" s="2">
        <v>7</v>
      </c>
      <c r="D89" s="2">
        <v>1.8</v>
      </c>
      <c r="E89" s="2">
        <v>2</v>
      </c>
      <c r="F89" s="2" t="str">
        <f t="shared" si="1"/>
        <v>2nd</v>
      </c>
    </row>
    <row r="90" spans="1:6" x14ac:dyDescent="0.2">
      <c r="A90" s="2" t="s">
        <v>27</v>
      </c>
      <c r="B90" s="2" t="s">
        <v>4</v>
      </c>
      <c r="C90" s="2">
        <v>8</v>
      </c>
      <c r="D90" s="2">
        <v>4.3</v>
      </c>
      <c r="E90" s="2">
        <v>3</v>
      </c>
      <c r="F90" s="2" t="str">
        <f t="shared" si="1"/>
        <v>4th</v>
      </c>
    </row>
    <row r="91" spans="1:6" x14ac:dyDescent="0.2">
      <c r="A91" s="2" t="s">
        <v>27</v>
      </c>
      <c r="B91" s="2" t="s">
        <v>4</v>
      </c>
      <c r="C91" s="2">
        <v>9</v>
      </c>
      <c r="D91" s="2">
        <v>4.3</v>
      </c>
      <c r="E91" s="2">
        <v>3</v>
      </c>
      <c r="F91" s="2" t="str">
        <f t="shared" si="1"/>
        <v>4th</v>
      </c>
    </row>
    <row r="92" spans="1:6" x14ac:dyDescent="0.2">
      <c r="A92" s="2" t="s">
        <v>27</v>
      </c>
      <c r="B92" s="2" t="s">
        <v>4</v>
      </c>
      <c r="C92" s="2">
        <v>10</v>
      </c>
      <c r="D92" s="2">
        <v>4.3</v>
      </c>
      <c r="E92" s="2">
        <v>3</v>
      </c>
      <c r="F92" s="2" t="str">
        <f t="shared" si="1"/>
        <v>4th</v>
      </c>
    </row>
    <row r="93" spans="1:6" x14ac:dyDescent="0.2">
      <c r="A93" s="2" t="s">
        <v>27</v>
      </c>
      <c r="B93" s="2" t="s">
        <v>4</v>
      </c>
      <c r="C93" s="2">
        <v>11</v>
      </c>
      <c r="D93" s="2">
        <v>4.3</v>
      </c>
      <c r="E93" s="2">
        <v>3</v>
      </c>
      <c r="F93" s="2" t="str">
        <f t="shared" si="1"/>
        <v>4th</v>
      </c>
    </row>
    <row r="94" spans="1:6" x14ac:dyDescent="0.2">
      <c r="A94" s="2" t="s">
        <v>27</v>
      </c>
      <c r="B94" s="2" t="s">
        <v>4</v>
      </c>
      <c r="C94" s="2">
        <v>12</v>
      </c>
      <c r="D94" s="2">
        <v>4.3</v>
      </c>
      <c r="E94" s="2">
        <v>3</v>
      </c>
      <c r="F94" s="2" t="str">
        <f t="shared" si="1"/>
        <v>4th</v>
      </c>
    </row>
    <row r="95" spans="1:6" x14ac:dyDescent="0.2">
      <c r="A95" s="2" t="s">
        <v>27</v>
      </c>
      <c r="B95" s="2" t="s">
        <v>4</v>
      </c>
      <c r="C95" s="2">
        <v>13</v>
      </c>
      <c r="D95" s="2">
        <v>4.3</v>
      </c>
      <c r="E95" s="2">
        <v>3</v>
      </c>
      <c r="F95" s="2" t="str">
        <f t="shared" si="1"/>
        <v>4th</v>
      </c>
    </row>
    <row r="96" spans="1:6" x14ac:dyDescent="0.2">
      <c r="A96" s="2" t="s">
        <v>27</v>
      </c>
      <c r="B96" s="2" t="s">
        <v>4</v>
      </c>
      <c r="C96" s="2">
        <v>14</v>
      </c>
      <c r="D96" s="2">
        <v>4.3</v>
      </c>
      <c r="E96" s="2">
        <v>3</v>
      </c>
      <c r="F96" s="2" t="str">
        <f t="shared" si="1"/>
        <v>4th</v>
      </c>
    </row>
    <row r="97" spans="1:6" x14ac:dyDescent="0.2">
      <c r="A97" s="2" t="s">
        <v>27</v>
      </c>
      <c r="B97" s="2" t="s">
        <v>4</v>
      </c>
      <c r="C97" s="2">
        <v>15</v>
      </c>
      <c r="D97" s="2">
        <v>8.3000000000000007</v>
      </c>
      <c r="E97" s="2">
        <v>4</v>
      </c>
      <c r="F97" s="2" t="str">
        <f t="shared" si="1"/>
        <v>8th</v>
      </c>
    </row>
    <row r="98" spans="1:6" x14ac:dyDescent="0.2">
      <c r="A98" s="2" t="s">
        <v>27</v>
      </c>
      <c r="B98" s="2" t="s">
        <v>4</v>
      </c>
      <c r="C98" s="2">
        <v>16</v>
      </c>
      <c r="D98" s="2">
        <v>8.3000000000000007</v>
      </c>
      <c r="E98" s="2">
        <v>4</v>
      </c>
      <c r="F98" s="2" t="str">
        <f t="shared" si="1"/>
        <v>8th</v>
      </c>
    </row>
    <row r="99" spans="1:6" x14ac:dyDescent="0.2">
      <c r="A99" s="2" t="s">
        <v>27</v>
      </c>
      <c r="B99" s="2" t="s">
        <v>4</v>
      </c>
      <c r="C99" s="2">
        <v>17</v>
      </c>
      <c r="D99" s="2">
        <v>8.3000000000000007</v>
      </c>
      <c r="E99" s="2">
        <v>4</v>
      </c>
      <c r="F99" s="2" t="str">
        <f t="shared" si="1"/>
        <v>8th</v>
      </c>
    </row>
    <row r="100" spans="1:6" x14ac:dyDescent="0.2">
      <c r="A100" s="2" t="s">
        <v>27</v>
      </c>
      <c r="B100" s="2" t="s">
        <v>4</v>
      </c>
      <c r="C100" s="2">
        <v>18</v>
      </c>
      <c r="D100" s="2">
        <v>13.7</v>
      </c>
      <c r="E100" s="2">
        <v>5</v>
      </c>
      <c r="F100" s="2" t="str">
        <f t="shared" si="1"/>
        <v>14th</v>
      </c>
    </row>
    <row r="101" spans="1:6" x14ac:dyDescent="0.2">
      <c r="A101" s="2" t="s">
        <v>27</v>
      </c>
      <c r="B101" s="2" t="s">
        <v>4</v>
      </c>
      <c r="C101" s="2">
        <v>19</v>
      </c>
      <c r="D101" s="2">
        <v>13.7</v>
      </c>
      <c r="E101" s="2">
        <v>5</v>
      </c>
      <c r="F101" s="2" t="str">
        <f t="shared" si="1"/>
        <v>14th</v>
      </c>
    </row>
    <row r="102" spans="1:6" x14ac:dyDescent="0.2">
      <c r="A102" s="2" t="s">
        <v>27</v>
      </c>
      <c r="B102" s="2" t="s">
        <v>4</v>
      </c>
      <c r="C102" s="2">
        <v>20</v>
      </c>
      <c r="D102" s="2">
        <v>13.7</v>
      </c>
      <c r="E102" s="2">
        <v>5</v>
      </c>
      <c r="F102" s="2" t="str">
        <f t="shared" si="1"/>
        <v>14th</v>
      </c>
    </row>
    <row r="103" spans="1:6" x14ac:dyDescent="0.2">
      <c r="A103" s="2" t="s">
        <v>27</v>
      </c>
      <c r="B103" s="2" t="s">
        <v>4</v>
      </c>
      <c r="C103" s="2">
        <v>21</v>
      </c>
      <c r="D103" s="2">
        <v>13.7</v>
      </c>
      <c r="E103" s="2">
        <v>5</v>
      </c>
      <c r="F103" s="2" t="str">
        <f t="shared" si="1"/>
        <v>14th</v>
      </c>
    </row>
    <row r="104" spans="1:6" x14ac:dyDescent="0.2">
      <c r="A104" s="2" t="s">
        <v>27</v>
      </c>
      <c r="B104" s="2" t="s">
        <v>4</v>
      </c>
      <c r="C104" s="2">
        <v>22</v>
      </c>
      <c r="D104" s="2">
        <v>22.6</v>
      </c>
      <c r="E104" s="2">
        <v>6</v>
      </c>
      <c r="F104" s="2" t="str">
        <f t="shared" si="1"/>
        <v>23rd</v>
      </c>
    </row>
    <row r="105" spans="1:6" x14ac:dyDescent="0.2">
      <c r="A105" s="2" t="s">
        <v>27</v>
      </c>
      <c r="B105" s="2" t="s">
        <v>4</v>
      </c>
      <c r="C105" s="2">
        <v>23</v>
      </c>
      <c r="D105" s="2">
        <v>34</v>
      </c>
      <c r="E105" s="2">
        <v>7</v>
      </c>
      <c r="F105" s="2" t="str">
        <f t="shared" si="1"/>
        <v>34th</v>
      </c>
    </row>
    <row r="106" spans="1:6" x14ac:dyDescent="0.2">
      <c r="A106" s="2" t="s">
        <v>27</v>
      </c>
      <c r="B106" s="2" t="s">
        <v>4</v>
      </c>
      <c r="C106" s="2">
        <v>24</v>
      </c>
      <c r="D106" s="2">
        <v>34</v>
      </c>
      <c r="E106" s="2">
        <v>7</v>
      </c>
      <c r="F106" s="2" t="str">
        <f t="shared" si="1"/>
        <v>34th</v>
      </c>
    </row>
    <row r="107" spans="1:6" x14ac:dyDescent="0.2">
      <c r="A107" s="2" t="s">
        <v>27</v>
      </c>
      <c r="B107" s="2" t="s">
        <v>4</v>
      </c>
      <c r="C107" s="2">
        <v>25</v>
      </c>
      <c r="D107" s="2">
        <v>45.4</v>
      </c>
      <c r="E107" s="2">
        <v>8</v>
      </c>
      <c r="F107" s="2" t="str">
        <f t="shared" si="1"/>
        <v>45th</v>
      </c>
    </row>
    <row r="108" spans="1:6" x14ac:dyDescent="0.2">
      <c r="A108" s="2" t="s">
        <v>27</v>
      </c>
      <c r="B108" s="2" t="s">
        <v>4</v>
      </c>
      <c r="C108" s="2">
        <v>26</v>
      </c>
      <c r="D108" s="2">
        <v>60.8</v>
      </c>
      <c r="E108" s="2">
        <v>9</v>
      </c>
      <c r="F108" s="2" t="str">
        <f t="shared" si="1"/>
        <v>61st</v>
      </c>
    </row>
    <row r="109" spans="1:6" x14ac:dyDescent="0.2">
      <c r="A109" s="2" t="s">
        <v>27</v>
      </c>
      <c r="B109" s="2" t="s">
        <v>4</v>
      </c>
      <c r="C109" s="2">
        <v>27</v>
      </c>
      <c r="D109" s="2">
        <v>76.8</v>
      </c>
      <c r="E109" s="2">
        <v>10</v>
      </c>
      <c r="F109" s="2" t="str">
        <f t="shared" si="1"/>
        <v>77th</v>
      </c>
    </row>
    <row r="110" spans="1:6" x14ac:dyDescent="0.2">
      <c r="A110" s="2" t="s">
        <v>27</v>
      </c>
      <c r="B110" s="2" t="s">
        <v>4</v>
      </c>
      <c r="C110" s="2">
        <v>28</v>
      </c>
      <c r="D110" s="2">
        <v>90.3</v>
      </c>
      <c r="E110" s="2">
        <v>11</v>
      </c>
      <c r="F110" s="2" t="str">
        <f t="shared" si="1"/>
        <v>90th</v>
      </c>
    </row>
    <row r="111" spans="1:6" x14ac:dyDescent="0.2">
      <c r="A111" s="2" t="s">
        <v>27</v>
      </c>
      <c r="B111" s="2" t="s">
        <v>4</v>
      </c>
      <c r="C111" s="2">
        <v>29</v>
      </c>
      <c r="D111" s="2">
        <v>96.7</v>
      </c>
      <c r="E111" s="2">
        <v>12</v>
      </c>
      <c r="F111" s="2" t="str">
        <f t="shared" si="1"/>
        <v>97th</v>
      </c>
    </row>
    <row r="112" spans="1:6" x14ac:dyDescent="0.2">
      <c r="A112" s="2" t="s">
        <v>27</v>
      </c>
      <c r="B112" s="2" t="s">
        <v>4</v>
      </c>
      <c r="C112" s="2">
        <v>30</v>
      </c>
      <c r="D112" s="2">
        <v>98.9</v>
      </c>
      <c r="E112" s="2">
        <v>13</v>
      </c>
      <c r="F112" s="2" t="str">
        <f t="shared" si="1"/>
        <v>99th</v>
      </c>
    </row>
    <row r="113" spans="1:6" x14ac:dyDescent="0.2">
      <c r="A113" s="2" t="s">
        <v>27</v>
      </c>
      <c r="B113" s="2" t="s">
        <v>4</v>
      </c>
      <c r="C113" s="2">
        <v>31</v>
      </c>
      <c r="D113" s="2">
        <v>99.8</v>
      </c>
      <c r="E113" s="2">
        <v>14</v>
      </c>
      <c r="F113" s="2" t="str">
        <f t="shared" si="1"/>
        <v>100th</v>
      </c>
    </row>
    <row r="114" spans="1:6" x14ac:dyDescent="0.2">
      <c r="A114" s="2" t="s">
        <v>27</v>
      </c>
      <c r="B114" s="2" t="s">
        <v>4</v>
      </c>
      <c r="C114" s="2">
        <v>32</v>
      </c>
      <c r="D114" s="2">
        <v>99.9</v>
      </c>
      <c r="E114" s="2">
        <v>15</v>
      </c>
      <c r="F114" s="2" t="str">
        <f t="shared" si="1"/>
        <v>100th</v>
      </c>
    </row>
    <row r="115" spans="1:6" x14ac:dyDescent="0.2">
      <c r="A115" s="2" t="s">
        <v>27</v>
      </c>
      <c r="B115" s="2" t="s">
        <v>28</v>
      </c>
      <c r="C115" s="2">
        <v>1</v>
      </c>
      <c r="D115" s="2">
        <v>0</v>
      </c>
      <c r="E115" s="2">
        <v>1</v>
      </c>
      <c r="F115" s="2" t="str">
        <f t="shared" si="1"/>
        <v>0th</v>
      </c>
    </row>
    <row r="116" spans="1:6" x14ac:dyDescent="0.2">
      <c r="A116" s="2" t="s">
        <v>27</v>
      </c>
      <c r="B116" s="2" t="s">
        <v>28</v>
      </c>
      <c r="C116" s="2">
        <v>2</v>
      </c>
      <c r="D116" s="2">
        <v>0</v>
      </c>
      <c r="E116" s="2">
        <v>2</v>
      </c>
      <c r="F116" s="2" t="str">
        <f t="shared" si="1"/>
        <v>0th</v>
      </c>
    </row>
    <row r="117" spans="1:6" x14ac:dyDescent="0.2">
      <c r="A117" s="2" t="s">
        <v>27</v>
      </c>
      <c r="B117" s="2" t="s">
        <v>28</v>
      </c>
      <c r="C117" s="2">
        <v>3</v>
      </c>
      <c r="D117" s="2">
        <v>0</v>
      </c>
      <c r="E117" s="2">
        <v>3</v>
      </c>
      <c r="F117" s="2" t="str">
        <f t="shared" si="1"/>
        <v>0th</v>
      </c>
    </row>
    <row r="118" spans="1:6" x14ac:dyDescent="0.2">
      <c r="A118" s="2" t="s">
        <v>27</v>
      </c>
      <c r="B118" s="2" t="s">
        <v>28</v>
      </c>
      <c r="C118" s="2">
        <v>4</v>
      </c>
      <c r="D118" s="2">
        <v>0</v>
      </c>
      <c r="E118" s="2">
        <v>4</v>
      </c>
      <c r="F118" s="2" t="str">
        <f t="shared" si="1"/>
        <v>0th</v>
      </c>
    </row>
    <row r="119" spans="1:6" x14ac:dyDescent="0.2">
      <c r="A119" s="2" t="s">
        <v>27</v>
      </c>
      <c r="B119" s="2" t="s">
        <v>28</v>
      </c>
      <c r="C119" s="2">
        <v>5</v>
      </c>
      <c r="D119" s="2">
        <v>0</v>
      </c>
      <c r="E119" s="2">
        <v>5</v>
      </c>
      <c r="F119" s="2" t="str">
        <f t="shared" si="1"/>
        <v>0th</v>
      </c>
    </row>
    <row r="120" spans="1:6" x14ac:dyDescent="0.2">
      <c r="A120" s="2" t="s">
        <v>27</v>
      </c>
      <c r="B120" s="2" t="s">
        <v>28</v>
      </c>
      <c r="C120" s="2">
        <v>6</v>
      </c>
      <c r="D120" s="2">
        <v>0.1</v>
      </c>
      <c r="E120" s="2">
        <v>6</v>
      </c>
      <c r="F120" s="2" t="str">
        <f t="shared" si="1"/>
        <v>0th</v>
      </c>
    </row>
    <row r="121" spans="1:6" x14ac:dyDescent="0.2">
      <c r="A121" s="2" t="s">
        <v>27</v>
      </c>
      <c r="B121" s="2" t="s">
        <v>28</v>
      </c>
      <c r="C121" s="2">
        <v>7</v>
      </c>
      <c r="D121" s="2">
        <v>0.3</v>
      </c>
      <c r="E121" s="2">
        <v>7</v>
      </c>
      <c r="F121" s="2" t="str">
        <f t="shared" si="1"/>
        <v>0th</v>
      </c>
    </row>
    <row r="122" spans="1:6" x14ac:dyDescent="0.2">
      <c r="A122" s="2" t="s">
        <v>27</v>
      </c>
      <c r="B122" s="2" t="s">
        <v>28</v>
      </c>
      <c r="C122" s="2">
        <v>8</v>
      </c>
      <c r="D122" s="2">
        <v>0.6</v>
      </c>
      <c r="E122" s="2">
        <v>8</v>
      </c>
      <c r="F122" s="2" t="str">
        <f t="shared" si="1"/>
        <v>1st</v>
      </c>
    </row>
    <row r="123" spans="1:6" x14ac:dyDescent="0.2">
      <c r="A123" s="2" t="s">
        <v>27</v>
      </c>
      <c r="B123" s="2" t="s">
        <v>28</v>
      </c>
      <c r="C123" s="2">
        <v>9</v>
      </c>
      <c r="D123" s="2">
        <v>1</v>
      </c>
      <c r="E123" s="2">
        <v>9</v>
      </c>
      <c r="F123" s="2" t="str">
        <f t="shared" si="1"/>
        <v>1st</v>
      </c>
    </row>
    <row r="124" spans="1:6" x14ac:dyDescent="0.2">
      <c r="A124" s="2" t="s">
        <v>27</v>
      </c>
      <c r="B124" s="2" t="s">
        <v>28</v>
      </c>
      <c r="C124" s="2">
        <v>10</v>
      </c>
      <c r="D124" s="2">
        <v>1.5</v>
      </c>
      <c r="E124" s="2">
        <v>10</v>
      </c>
      <c r="F124" s="2" t="str">
        <f t="shared" si="1"/>
        <v>2nd</v>
      </c>
    </row>
    <row r="125" spans="1:6" x14ac:dyDescent="0.2">
      <c r="A125" s="2" t="s">
        <v>27</v>
      </c>
      <c r="B125" s="2" t="s">
        <v>28</v>
      </c>
      <c r="C125" s="2">
        <v>11</v>
      </c>
      <c r="D125" s="2">
        <v>2.2000000000000002</v>
      </c>
      <c r="E125" s="2">
        <v>11</v>
      </c>
      <c r="F125" s="2" t="str">
        <f t="shared" si="1"/>
        <v>2nd</v>
      </c>
    </row>
    <row r="126" spans="1:6" x14ac:dyDescent="0.2">
      <c r="A126" s="2" t="s">
        <v>27</v>
      </c>
      <c r="B126" s="2" t="s">
        <v>28</v>
      </c>
      <c r="C126" s="2">
        <v>12</v>
      </c>
      <c r="D126" s="2">
        <v>3.1</v>
      </c>
      <c r="E126" s="2">
        <v>12</v>
      </c>
      <c r="F126" s="2" t="str">
        <f t="shared" si="1"/>
        <v>3rd</v>
      </c>
    </row>
    <row r="127" spans="1:6" x14ac:dyDescent="0.2">
      <c r="A127" s="2" t="s">
        <v>27</v>
      </c>
      <c r="B127" s="2" t="s">
        <v>28</v>
      </c>
      <c r="C127" s="2">
        <v>13</v>
      </c>
      <c r="D127" s="2">
        <v>4.2</v>
      </c>
      <c r="E127" s="2">
        <v>13</v>
      </c>
      <c r="F127" s="2" t="str">
        <f t="shared" si="1"/>
        <v>4th</v>
      </c>
    </row>
    <row r="128" spans="1:6" x14ac:dyDescent="0.2">
      <c r="A128" s="2" t="s">
        <v>27</v>
      </c>
      <c r="B128" s="2" t="s">
        <v>28</v>
      </c>
      <c r="C128" s="2">
        <v>14</v>
      </c>
      <c r="D128" s="2">
        <v>5.5</v>
      </c>
      <c r="E128" s="2">
        <v>14</v>
      </c>
      <c r="F128" s="2" t="str">
        <f t="shared" si="1"/>
        <v>6th</v>
      </c>
    </row>
    <row r="129" spans="1:6" x14ac:dyDescent="0.2">
      <c r="A129" s="2" t="s">
        <v>27</v>
      </c>
      <c r="B129" s="2" t="s">
        <v>28</v>
      </c>
      <c r="C129" s="2">
        <v>15</v>
      </c>
      <c r="D129" s="2">
        <v>7.2</v>
      </c>
      <c r="E129" s="2">
        <v>15</v>
      </c>
      <c r="F129" s="2" t="str">
        <f t="shared" si="1"/>
        <v>7th</v>
      </c>
    </row>
    <row r="130" spans="1:6" x14ac:dyDescent="0.2">
      <c r="A130" s="2" t="s">
        <v>27</v>
      </c>
      <c r="B130" s="2" t="s">
        <v>28</v>
      </c>
      <c r="C130" s="2">
        <v>16</v>
      </c>
      <c r="D130" s="2">
        <v>9.1999999999999993</v>
      </c>
      <c r="E130" s="2">
        <v>16</v>
      </c>
      <c r="F130" s="2" t="str">
        <f t="shared" si="1"/>
        <v>9th</v>
      </c>
    </row>
    <row r="131" spans="1:6" x14ac:dyDescent="0.2">
      <c r="A131" s="2" t="s">
        <v>27</v>
      </c>
      <c r="B131" s="2" t="s">
        <v>28</v>
      </c>
      <c r="C131" s="2">
        <v>17</v>
      </c>
      <c r="D131" s="2">
        <v>11.5</v>
      </c>
      <c r="E131" s="2">
        <v>17</v>
      </c>
      <c r="F131" s="2" t="str">
        <f t="shared" ref="F131:F159" si="2">IF(RIGHT(ROUND(D131,0),2)="13",ROUND(D131,0)&amp;"th",IF(RIGHT(ROUND(D131,0),2)="12",ROUND(D131,0)&amp;"th",IF(RIGHT(ROUND(D131,0),2)="11",ROUND(D131,0)&amp;"th",IF(RIGHT(ROUND(D131,0),1)="1",ROUND(D131,0)&amp;"st",IF(RIGHT(ROUND(D131,0),1)="2",ROUND(D131,0)&amp;"nd",IF(RIGHT(ROUND(D131,0),1)="3",ROUND(D131,0)&amp;"rd",ROUND(D131,0)&amp;"th"))))))</f>
        <v>12th</v>
      </c>
    </row>
    <row r="132" spans="1:6" x14ac:dyDescent="0.2">
      <c r="A132" s="2" t="s">
        <v>27</v>
      </c>
      <c r="B132" s="2" t="s">
        <v>28</v>
      </c>
      <c r="C132" s="2">
        <v>18</v>
      </c>
      <c r="D132" s="2">
        <v>14.2</v>
      </c>
      <c r="E132" s="2">
        <v>18</v>
      </c>
      <c r="F132" s="2" t="str">
        <f t="shared" si="2"/>
        <v>14th</v>
      </c>
    </row>
    <row r="133" spans="1:6" x14ac:dyDescent="0.2">
      <c r="A133" s="2" t="s">
        <v>27</v>
      </c>
      <c r="B133" s="2" t="s">
        <v>28</v>
      </c>
      <c r="C133" s="2">
        <v>19</v>
      </c>
      <c r="D133" s="2">
        <v>17.399999999999999</v>
      </c>
      <c r="E133" s="2">
        <v>19</v>
      </c>
      <c r="F133" s="2" t="str">
        <f t="shared" si="2"/>
        <v>17th</v>
      </c>
    </row>
    <row r="134" spans="1:6" x14ac:dyDescent="0.2">
      <c r="A134" s="2" t="s">
        <v>27</v>
      </c>
      <c r="B134" s="2" t="s">
        <v>28</v>
      </c>
      <c r="C134" s="2">
        <v>20</v>
      </c>
      <c r="D134" s="2">
        <v>21.1</v>
      </c>
      <c r="E134" s="2">
        <v>20</v>
      </c>
      <c r="F134" s="2" t="str">
        <f t="shared" si="2"/>
        <v>21st</v>
      </c>
    </row>
    <row r="135" spans="1:6" x14ac:dyDescent="0.2">
      <c r="A135" s="2" t="s">
        <v>27</v>
      </c>
      <c r="B135" s="2" t="s">
        <v>28</v>
      </c>
      <c r="C135" s="2">
        <v>21</v>
      </c>
      <c r="D135" s="2">
        <v>25.3</v>
      </c>
      <c r="E135" s="2">
        <v>21</v>
      </c>
      <c r="F135" s="2" t="str">
        <f t="shared" si="2"/>
        <v>25th</v>
      </c>
    </row>
    <row r="136" spans="1:6" x14ac:dyDescent="0.2">
      <c r="A136" s="2" t="s">
        <v>27</v>
      </c>
      <c r="B136" s="2" t="s">
        <v>28</v>
      </c>
      <c r="C136" s="2">
        <v>22</v>
      </c>
      <c r="D136" s="2">
        <v>29.9</v>
      </c>
      <c r="E136" s="2">
        <v>22</v>
      </c>
      <c r="F136" s="2" t="str">
        <f t="shared" si="2"/>
        <v>30th</v>
      </c>
    </row>
    <row r="137" spans="1:6" x14ac:dyDescent="0.2">
      <c r="A137" s="2" t="s">
        <v>27</v>
      </c>
      <c r="B137" s="2" t="s">
        <v>28</v>
      </c>
      <c r="C137" s="2">
        <v>23</v>
      </c>
      <c r="D137" s="2">
        <v>35.1</v>
      </c>
      <c r="E137" s="2">
        <v>23</v>
      </c>
      <c r="F137" s="2" t="str">
        <f t="shared" si="2"/>
        <v>35th</v>
      </c>
    </row>
    <row r="138" spans="1:6" x14ac:dyDescent="0.2">
      <c r="A138" s="2" t="s">
        <v>27</v>
      </c>
      <c r="B138" s="2" t="s">
        <v>28</v>
      </c>
      <c r="C138" s="2">
        <v>24</v>
      </c>
      <c r="D138" s="2">
        <v>40.799999999999997</v>
      </c>
      <c r="E138" s="2">
        <v>24</v>
      </c>
      <c r="F138" s="2" t="str">
        <f t="shared" si="2"/>
        <v>41st</v>
      </c>
    </row>
    <row r="139" spans="1:6" x14ac:dyDescent="0.2">
      <c r="A139" s="2" t="s">
        <v>27</v>
      </c>
      <c r="B139" s="2" t="s">
        <v>28</v>
      </c>
      <c r="C139" s="2">
        <v>25</v>
      </c>
      <c r="D139" s="2">
        <v>46.9</v>
      </c>
      <c r="E139" s="2">
        <v>25</v>
      </c>
      <c r="F139" s="2" t="str">
        <f t="shared" si="2"/>
        <v>47th</v>
      </c>
    </row>
    <row r="140" spans="1:6" x14ac:dyDescent="0.2">
      <c r="A140" s="2" t="s">
        <v>27</v>
      </c>
      <c r="B140" s="2" t="s">
        <v>28</v>
      </c>
      <c r="C140" s="2">
        <v>26</v>
      </c>
      <c r="D140" s="2">
        <v>53.1</v>
      </c>
      <c r="E140" s="2">
        <v>26</v>
      </c>
      <c r="F140" s="2" t="str">
        <f t="shared" si="2"/>
        <v>53rd</v>
      </c>
    </row>
    <row r="141" spans="1:6" x14ac:dyDescent="0.2">
      <c r="A141" s="2" t="s">
        <v>27</v>
      </c>
      <c r="B141" s="2" t="s">
        <v>28</v>
      </c>
      <c r="C141" s="2">
        <v>27</v>
      </c>
      <c r="D141" s="2">
        <v>59.3</v>
      </c>
      <c r="E141" s="2">
        <v>27</v>
      </c>
      <c r="F141" s="2" t="str">
        <f t="shared" si="2"/>
        <v>59th</v>
      </c>
    </row>
    <row r="142" spans="1:6" x14ac:dyDescent="0.2">
      <c r="A142" s="2" t="s">
        <v>27</v>
      </c>
      <c r="B142" s="2" t="s">
        <v>28</v>
      </c>
      <c r="C142" s="2">
        <v>28</v>
      </c>
      <c r="D142" s="2">
        <v>65.5</v>
      </c>
      <c r="E142" s="2">
        <v>28</v>
      </c>
      <c r="F142" s="2" t="str">
        <f t="shared" si="2"/>
        <v>66th</v>
      </c>
    </row>
    <row r="143" spans="1:6" x14ac:dyDescent="0.2">
      <c r="A143" s="2" t="s">
        <v>27</v>
      </c>
      <c r="B143" s="2" t="s">
        <v>28</v>
      </c>
      <c r="C143" s="2">
        <v>29</v>
      </c>
      <c r="D143" s="2">
        <v>71.400000000000006</v>
      </c>
      <c r="E143" s="2">
        <v>29</v>
      </c>
      <c r="F143" s="2" t="str">
        <f t="shared" si="2"/>
        <v>71st</v>
      </c>
    </row>
    <row r="144" spans="1:6" x14ac:dyDescent="0.2">
      <c r="A144" s="2" t="s">
        <v>27</v>
      </c>
      <c r="B144" s="2" t="s">
        <v>28</v>
      </c>
      <c r="C144" s="2">
        <v>30</v>
      </c>
      <c r="D144" s="2">
        <v>76.900000000000006</v>
      </c>
      <c r="E144" s="2">
        <v>30</v>
      </c>
      <c r="F144" s="2" t="str">
        <f t="shared" si="2"/>
        <v>77th</v>
      </c>
    </row>
    <row r="145" spans="1:6" x14ac:dyDescent="0.2">
      <c r="A145" s="2" t="s">
        <v>27</v>
      </c>
      <c r="B145" s="2" t="s">
        <v>28</v>
      </c>
      <c r="C145" s="2">
        <v>31</v>
      </c>
      <c r="D145" s="2">
        <v>81.8</v>
      </c>
      <c r="E145" s="2">
        <v>31</v>
      </c>
      <c r="F145" s="2" t="str">
        <f t="shared" si="2"/>
        <v>82nd</v>
      </c>
    </row>
    <row r="146" spans="1:6" x14ac:dyDescent="0.2">
      <c r="A146" s="2" t="s">
        <v>27</v>
      </c>
      <c r="B146" s="2" t="s">
        <v>28</v>
      </c>
      <c r="C146" s="2">
        <v>32</v>
      </c>
      <c r="D146" s="2">
        <v>86</v>
      </c>
      <c r="E146" s="2">
        <v>32</v>
      </c>
      <c r="F146" s="2" t="str">
        <f t="shared" si="2"/>
        <v>86th</v>
      </c>
    </row>
    <row r="147" spans="1:6" x14ac:dyDescent="0.2">
      <c r="A147" s="2" t="s">
        <v>27</v>
      </c>
      <c r="B147" s="2" t="s">
        <v>28</v>
      </c>
      <c r="C147" s="2">
        <v>33</v>
      </c>
      <c r="D147" s="2">
        <v>89.6</v>
      </c>
      <c r="E147" s="2">
        <v>33</v>
      </c>
      <c r="F147" s="2" t="str">
        <f t="shared" si="2"/>
        <v>90th</v>
      </c>
    </row>
    <row r="148" spans="1:6" x14ac:dyDescent="0.2">
      <c r="A148" s="2" t="s">
        <v>27</v>
      </c>
      <c r="B148" s="2" t="s">
        <v>28</v>
      </c>
      <c r="C148" s="2">
        <v>34</v>
      </c>
      <c r="D148" s="2">
        <v>92.4</v>
      </c>
      <c r="E148" s="2">
        <v>34</v>
      </c>
      <c r="F148" s="2" t="str">
        <f t="shared" si="2"/>
        <v>92nd</v>
      </c>
    </row>
    <row r="149" spans="1:6" x14ac:dyDescent="0.2">
      <c r="A149" s="2" t="s">
        <v>27</v>
      </c>
      <c r="B149" s="2" t="s">
        <v>28</v>
      </c>
      <c r="C149" s="2">
        <v>35</v>
      </c>
      <c r="D149" s="2">
        <v>94.7</v>
      </c>
      <c r="E149" s="2">
        <v>35</v>
      </c>
      <c r="F149" s="2" t="str">
        <f t="shared" si="2"/>
        <v>95th</v>
      </c>
    </row>
    <row r="150" spans="1:6" x14ac:dyDescent="0.2">
      <c r="A150" s="2" t="s">
        <v>27</v>
      </c>
      <c r="B150" s="2" t="s">
        <v>28</v>
      </c>
      <c r="C150" s="2">
        <v>36</v>
      </c>
      <c r="D150" s="2">
        <v>96.5</v>
      </c>
      <c r="E150" s="2">
        <v>36</v>
      </c>
      <c r="F150" s="2" t="str">
        <f t="shared" si="2"/>
        <v>97th</v>
      </c>
    </row>
    <row r="151" spans="1:6" x14ac:dyDescent="0.2">
      <c r="A151" s="2" t="s">
        <v>27</v>
      </c>
      <c r="B151" s="2" t="s">
        <v>28</v>
      </c>
      <c r="C151" s="2">
        <v>37</v>
      </c>
      <c r="D151" s="2">
        <v>97.8</v>
      </c>
      <c r="E151" s="2">
        <v>37</v>
      </c>
      <c r="F151" s="2" t="str">
        <f t="shared" si="2"/>
        <v>98th</v>
      </c>
    </row>
    <row r="152" spans="1:6" x14ac:dyDescent="0.2">
      <c r="A152" s="2" t="s">
        <v>27</v>
      </c>
      <c r="B152" s="2" t="s">
        <v>28</v>
      </c>
      <c r="C152" s="2">
        <v>38</v>
      </c>
      <c r="D152" s="2">
        <v>98.7</v>
      </c>
      <c r="E152" s="2">
        <v>38</v>
      </c>
      <c r="F152" s="2" t="str">
        <f t="shared" si="2"/>
        <v>99th</v>
      </c>
    </row>
    <row r="153" spans="1:6" x14ac:dyDescent="0.2">
      <c r="A153" s="2" t="s">
        <v>27</v>
      </c>
      <c r="B153" s="2" t="s">
        <v>28</v>
      </c>
      <c r="C153" s="2">
        <v>39</v>
      </c>
      <c r="D153" s="2">
        <v>99.3</v>
      </c>
      <c r="E153" s="2">
        <v>39</v>
      </c>
      <c r="F153" s="2" t="str">
        <f t="shared" si="2"/>
        <v>99th</v>
      </c>
    </row>
    <row r="154" spans="1:6" x14ac:dyDescent="0.2">
      <c r="A154" s="2" t="s">
        <v>27</v>
      </c>
      <c r="B154" s="2" t="s">
        <v>28</v>
      </c>
      <c r="C154" s="2">
        <v>40</v>
      </c>
      <c r="D154" s="2">
        <v>99.6</v>
      </c>
      <c r="E154" s="2">
        <v>40</v>
      </c>
      <c r="F154" s="2" t="str">
        <f t="shared" si="2"/>
        <v>100th</v>
      </c>
    </row>
    <row r="155" spans="1:6" x14ac:dyDescent="0.2">
      <c r="A155" s="2" t="s">
        <v>27</v>
      </c>
      <c r="B155" s="2" t="s">
        <v>28</v>
      </c>
      <c r="C155" s="2">
        <v>41</v>
      </c>
      <c r="D155" s="2">
        <v>99.9</v>
      </c>
      <c r="E155" s="2">
        <v>41</v>
      </c>
      <c r="F155" s="2" t="str">
        <f t="shared" si="2"/>
        <v>100th</v>
      </c>
    </row>
    <row r="156" spans="1:6" x14ac:dyDescent="0.2">
      <c r="A156" s="2" t="s">
        <v>27</v>
      </c>
      <c r="B156" s="2" t="s">
        <v>28</v>
      </c>
      <c r="C156" s="2">
        <v>42</v>
      </c>
      <c r="D156" s="2">
        <v>99.9</v>
      </c>
      <c r="E156" s="2">
        <v>42</v>
      </c>
      <c r="F156" s="2" t="str">
        <f t="shared" si="2"/>
        <v>100th</v>
      </c>
    </row>
    <row r="157" spans="1:6" x14ac:dyDescent="0.2">
      <c r="A157" s="2" t="s">
        <v>27</v>
      </c>
      <c r="B157" s="2" t="s">
        <v>28</v>
      </c>
      <c r="C157" s="2">
        <v>43</v>
      </c>
      <c r="D157" s="2">
        <v>99.9</v>
      </c>
      <c r="E157" s="2">
        <v>43</v>
      </c>
      <c r="F157" s="2" t="str">
        <f t="shared" si="2"/>
        <v>100th</v>
      </c>
    </row>
    <row r="158" spans="1:6" x14ac:dyDescent="0.2">
      <c r="A158" s="2" t="s">
        <v>27</v>
      </c>
      <c r="B158" s="2" t="s">
        <v>28</v>
      </c>
      <c r="C158" s="2">
        <v>44</v>
      </c>
      <c r="D158" s="2">
        <v>99.9</v>
      </c>
      <c r="E158" s="2">
        <v>44</v>
      </c>
      <c r="F158" s="2" t="str">
        <f t="shared" si="2"/>
        <v>100th</v>
      </c>
    </row>
    <row r="159" spans="1:6" x14ac:dyDescent="0.2">
      <c r="A159" s="2" t="s">
        <v>27</v>
      </c>
      <c r="B159" s="2" t="s">
        <v>28</v>
      </c>
      <c r="C159" s="2">
        <v>45</v>
      </c>
      <c r="D159" s="2">
        <v>99.9</v>
      </c>
      <c r="E159" s="2">
        <v>45</v>
      </c>
      <c r="F159" s="2" t="str">
        <f t="shared" si="2"/>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A13" sqref="A3:XFD13"/>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215</v>
      </c>
      <c r="B1" s="14" t="s">
        <v>204</v>
      </c>
      <c r="C1" s="14" t="s">
        <v>216</v>
      </c>
      <c r="D1" s="14" t="s">
        <v>206</v>
      </c>
      <c r="E1" s="14" t="s">
        <v>218</v>
      </c>
      <c r="F1" s="14" t="s">
        <v>210</v>
      </c>
      <c r="G1" s="14" t="s">
        <v>219</v>
      </c>
      <c r="H1" s="14" t="s">
        <v>209</v>
      </c>
      <c r="I1" s="14" t="s">
        <v>220</v>
      </c>
      <c r="J1" s="14" t="s">
        <v>208</v>
      </c>
      <c r="K1" s="14" t="s">
        <v>221</v>
      </c>
      <c r="L1" s="14" t="s">
        <v>214</v>
      </c>
      <c r="M1" s="14" t="s">
        <v>217</v>
      </c>
      <c r="N1" s="14" t="s">
        <v>212</v>
      </c>
      <c r="O1" s="14" t="s">
        <v>229</v>
      </c>
      <c r="P1" s="14" t="s">
        <v>232</v>
      </c>
    </row>
    <row r="2" spans="1:16" ht="124.5" x14ac:dyDescent="0.25">
      <c r="A2" s="1" t="s">
        <v>27</v>
      </c>
      <c r="B2" s="1" t="s">
        <v>203</v>
      </c>
      <c r="C2" s="1" t="s">
        <v>205</v>
      </c>
      <c r="D2" s="1">
        <v>3</v>
      </c>
      <c r="E2" s="1" t="s">
        <v>80</v>
      </c>
      <c r="F2" s="1" t="s">
        <v>207</v>
      </c>
      <c r="G2" s="1" t="s">
        <v>78</v>
      </c>
      <c r="H2" s="1" t="s">
        <v>763</v>
      </c>
      <c r="I2" s="1" t="s">
        <v>79</v>
      </c>
      <c r="J2" s="1" t="s">
        <v>764</v>
      </c>
      <c r="M2" s="1" t="s">
        <v>211</v>
      </c>
      <c r="N2" s="1" t="s">
        <v>213</v>
      </c>
      <c r="O2" s="1" t="s">
        <v>230</v>
      </c>
      <c r="P2" s="1" t="s">
        <v>231</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Diagnostic</vt:lpstr>
      <vt:lpstr>Diagnostic_QA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2014-06-27T19:29:09Z</dcterms:modified>
</cp:coreProperties>
</file>