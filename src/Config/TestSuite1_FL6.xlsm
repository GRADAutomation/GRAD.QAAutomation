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6" sheetId="26" r:id="rId1"/>
    <sheet name="FL6_QA" sheetId="28"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5" i="26" l="1"/>
  <c r="K144" i="26"/>
  <c r="K143" i="26"/>
  <c r="K142" i="26"/>
  <c r="K141" i="26"/>
  <c r="K140" i="26"/>
  <c r="K139" i="26"/>
  <c r="K138" i="26"/>
  <c r="K137" i="26"/>
  <c r="K136" i="26"/>
  <c r="K135" i="26"/>
  <c r="K134" i="26"/>
  <c r="K133" i="26"/>
  <c r="K132" i="26"/>
  <c r="K131" i="26"/>
  <c r="K130" i="26"/>
  <c r="K129" i="26"/>
  <c r="K128" i="26"/>
  <c r="K127" i="26"/>
  <c r="K126" i="26"/>
  <c r="K125" i="26"/>
  <c r="K124" i="26"/>
  <c r="K123" i="26"/>
  <c r="K122" i="26"/>
  <c r="K121" i="26"/>
  <c r="K120" i="26"/>
  <c r="K119" i="26"/>
  <c r="K118" i="26"/>
  <c r="K117" i="26"/>
  <c r="K116" i="26"/>
  <c r="K115" i="26"/>
  <c r="K114" i="26"/>
  <c r="K113" i="26"/>
  <c r="K112" i="26"/>
  <c r="K111" i="26"/>
  <c r="K110" i="26"/>
  <c r="K109" i="26"/>
  <c r="K108" i="26"/>
  <c r="K107" i="26"/>
  <c r="K106" i="26"/>
  <c r="K105" i="26"/>
  <c r="K104" i="26"/>
  <c r="K103" i="26"/>
  <c r="K102" i="26"/>
  <c r="K101" i="26"/>
  <c r="K100" i="26"/>
  <c r="K99" i="26"/>
  <c r="K98" i="26"/>
  <c r="K97" i="26"/>
  <c r="K96" i="26"/>
  <c r="K95" i="26"/>
  <c r="K94" i="26"/>
  <c r="K93" i="26"/>
  <c r="K92" i="26"/>
  <c r="K91" i="26"/>
  <c r="K90" i="26"/>
  <c r="K89" i="26"/>
  <c r="K88" i="26"/>
  <c r="K87" i="26"/>
  <c r="K86" i="26"/>
  <c r="K85" i="26"/>
  <c r="K84" i="26"/>
  <c r="K83" i="26"/>
  <c r="K82" i="26"/>
  <c r="K81" i="26"/>
  <c r="K80" i="26"/>
  <c r="K79" i="26"/>
  <c r="K78" i="26"/>
  <c r="K77" i="26"/>
  <c r="K76" i="26"/>
  <c r="K75" i="26"/>
  <c r="K74" i="26"/>
  <c r="K73" i="26"/>
  <c r="K72" i="26"/>
  <c r="K71" i="26"/>
  <c r="K70" i="26"/>
  <c r="K69" i="26"/>
  <c r="K68" i="26"/>
  <c r="K67" i="26"/>
  <c r="K66" i="26"/>
  <c r="K65" i="26"/>
  <c r="K64" i="26"/>
  <c r="K63" i="26"/>
  <c r="K62" i="26"/>
  <c r="K61" i="26"/>
  <c r="K60" i="26"/>
  <c r="K59" i="26"/>
  <c r="K58" i="26"/>
  <c r="K57" i="26"/>
  <c r="K56" i="26"/>
  <c r="K55" i="26"/>
  <c r="K54" i="26"/>
  <c r="K53" i="26"/>
  <c r="K52" i="26"/>
  <c r="K51" i="26"/>
  <c r="K50" i="26"/>
  <c r="K49" i="26"/>
  <c r="K48" i="26"/>
  <c r="K47" i="26"/>
  <c r="K46" i="26"/>
  <c r="K45" i="26"/>
  <c r="K44" i="26"/>
  <c r="K43" i="26"/>
  <c r="K42" i="26"/>
  <c r="K41" i="26"/>
  <c r="K40" i="26"/>
  <c r="K39" i="26"/>
  <c r="K38" i="26"/>
  <c r="K37" i="26"/>
  <c r="K36" i="26"/>
  <c r="K35" i="26"/>
  <c r="K34" i="26"/>
  <c r="K33" i="26"/>
  <c r="K32" i="26"/>
  <c r="K31" i="26"/>
  <c r="K30" i="26"/>
  <c r="K29" i="26"/>
  <c r="K28" i="26"/>
  <c r="K27" i="26"/>
  <c r="K26" i="26"/>
  <c r="K25" i="26"/>
  <c r="K24" i="26"/>
  <c r="K23" i="26"/>
  <c r="K22" i="26"/>
  <c r="K21" i="26"/>
  <c r="K20" i="26"/>
  <c r="K19" i="26"/>
  <c r="K18" i="26"/>
  <c r="K17" i="26"/>
  <c r="K16" i="26"/>
  <c r="K15" i="26"/>
  <c r="K14" i="26"/>
  <c r="K13" i="26"/>
  <c r="K12" i="26"/>
  <c r="K11" i="26"/>
  <c r="K10" i="26"/>
  <c r="K9" i="26"/>
  <c r="K8" i="26"/>
  <c r="K7" i="26"/>
  <c r="K6" i="26"/>
  <c r="K5" i="26"/>
  <c r="K4" i="26"/>
  <c r="K3" i="26"/>
  <c r="K2" i="26"/>
  <c r="F47" i="8" l="1"/>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alcChain>
</file>

<file path=xl/sharedStrings.xml><?xml version="1.0" encoding="utf-8"?>
<sst xmlns="http://schemas.openxmlformats.org/spreadsheetml/2006/main" count="2079" uniqueCount="957">
  <si>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</si>
  <si>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</si>
  <si>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</si>
  <si>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</si>
  <si>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</si>
  <si>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</si>
  <si>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</si>
  <si>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</si>
  <si>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</si>
  <si>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</si>
  <si>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</si>
  <si>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</si>
  <si>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</si>
  <si>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</si>
  <si>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</si>
  <si>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</si>
  <si>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</si>
  <si>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</si>
  <si>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</si>
  <si>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</si>
  <si>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</si>
  <si>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</si>
  <si>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</si>
  <si>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</si>
  <si>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</si>
  <si>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</si>
  <si>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</si>
  <si>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</si>
  <si>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Topic</t>
  </si>
  <si>
    <t>Compounds and Stoichiometry</t>
  </si>
  <si>
    <t>Gases</t>
  </si>
  <si>
    <t>Units and Kinematics</t>
  </si>
  <si>
    <t>Newtonian Mechanics</t>
  </si>
  <si>
    <t>Redox Reactions and Electrochemistry</t>
  </si>
  <si>
    <t>Fluids/Solids</t>
  </si>
  <si>
    <t>Atomic Phenomena</t>
  </si>
  <si>
    <t>Acids and Bases</t>
  </si>
  <si>
    <t>Solution Chemistry</t>
  </si>
  <si>
    <t>Electrostatics</t>
  </si>
  <si>
    <t>Atomic and Electronic Structure</t>
  </si>
  <si>
    <t>Thermodynamics/Thermochemistry</t>
  </si>
  <si>
    <t>Rate Process/Kinetics</t>
  </si>
  <si>
    <t>Detail</t>
  </si>
  <si>
    <t>Evaluation</t>
  </si>
  <si>
    <t>Application</t>
  </si>
  <si>
    <t>Incorporation</t>
  </si>
  <si>
    <t>Deduction</t>
  </si>
  <si>
    <t>Endocrine System</t>
  </si>
  <si>
    <t>Enzymes and Cellular Metabolism</t>
  </si>
  <si>
    <t>Hydrocarbons</t>
  </si>
  <si>
    <t>Isomerism</t>
  </si>
  <si>
    <t>Molecular Biology</t>
  </si>
  <si>
    <t>Generalized Eukaryotic Cell</t>
  </si>
  <si>
    <t>Microbiology</t>
  </si>
  <si>
    <t>Amines</t>
  </si>
  <si>
    <t>Evolution</t>
  </si>
  <si>
    <t>Reproduction and Development</t>
  </si>
  <si>
    <t>Lymphatic and Immune Systems</t>
  </si>
  <si>
    <t>TabLabel</t>
  </si>
  <si>
    <t>None</t>
  </si>
  <si>
    <t>Verbal Reasoning</t>
  </si>
  <si>
    <t>Biological Sciences</t>
  </si>
  <si>
    <t>Physical Sciences</t>
  </si>
  <si>
    <t>Expected_Result</t>
  </si>
  <si>
    <t>Fail</t>
  </si>
  <si>
    <t>ScaledScore</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</si>
  <si>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</si>
  <si>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</si>
  <si>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</si>
  <si>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</si>
  <si>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</si>
  <si>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</si>
  <si>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</si>
  <si>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</si>
  <si>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</si>
  <si>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</si>
  <si>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</si>
  <si>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</si>
  <si>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</si>
  <si>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</si>
  <si>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</si>
  <si>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</si>
  <si>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</si>
  <si>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</si>
  <si>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</si>
  <si>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</si>
  <si>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</si>
  <si>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</si>
  <si>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</si>
  <si>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</si>
  <si>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</si>
  <si>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Physical Sciences - 52 questions, 70 minutes</t>
  </si>
  <si>
    <t>Biological Sciences - 52 questions, 70 minutes</t>
  </si>
  <si>
    <t>Passage VII</t>
  </si>
  <si>
    <t>Break_Title</t>
  </si>
  <si>
    <t>This is an authorized break.</t>
  </si>
  <si>
    <t>Break_Message</t>
  </si>
  <si>
    <t>I and II only</t>
  </si>
  <si>
    <t>I and III only</t>
  </si>
  <si>
    <t>II and III only</t>
  </si>
  <si>
    <t>I, II, and III</t>
  </si>
  <si>
    <t/>
  </si>
  <si>
    <t>I only</t>
  </si>
  <si>
    <t>II only</t>
  </si>
  <si>
    <t>III only</t>
  </si>
  <si>
    <t>There is no passage associated with these questions.</t>
  </si>
  <si>
    <t>Cannot be determined</t>
  </si>
  <si>
    <t>25%</t>
  </si>
  <si>
    <t>50%</t>
  </si>
  <si>
    <t>75%</t>
  </si>
  <si>
    <t>Total</t>
  </si>
  <si>
    <t>Percentile_Num</t>
  </si>
  <si>
    <t>Percentile_th</t>
  </si>
  <si>
    <t>Totals</t>
  </si>
  <si>
    <t>FL6</t>
  </si>
  <si>
    <t>1</t>
  </si>
  <si>
    <t>2</t>
  </si>
  <si>
    <t>3</t>
  </si>
  <si>
    <t>4</t>
  </si>
  <si>
    <t>Hydrogen bonding</t>
  </si>
  <si>
    <t>I and III</t>
  </si>
  <si>
    <t>I and II</t>
  </si>
  <si>
    <t>12.5%</t>
  </si>
  <si>
    <t>AC/DC Circuits</t>
  </si>
  <si>
    <t>Bonding</t>
  </si>
  <si>
    <t>Work and Energy</t>
  </si>
  <si>
    <t>Digestive System</t>
  </si>
  <si>
    <t>Muscle and Skeletal Systems</t>
  </si>
  <si>
    <t>Hybridization and Bonding</t>
  </si>
  <si>
    <t>Carboxylic Acids and Their Derivatives</t>
  </si>
  <si>
    <t>Nervous System</t>
  </si>
  <si>
    <t>Respiratory and Skin Systems</t>
  </si>
  <si>
    <t>100%</t>
  </si>
  <si>
    <t>0</t>
  </si>
  <si>
    <t>0%</t>
  </si>
  <si>
    <t>66%</t>
  </si>
  <si>
    <t>Phases/Phase Equilibria</t>
  </si>
  <si>
    <t>Aldehydes and Ketones</t>
  </si>
  <si>
    <t>H2O</t>
  </si>
  <si>
    <t>Equilibria</t>
  </si>
  <si>
    <t>Momentum</t>
  </si>
  <si>
    <t>NH3</t>
  </si>
  <si>
    <t>0°</t>
  </si>
  <si>
    <t>In Stunt 2, how much momentum does each bullet have when leaving its gun?</t>
  </si>
  <si>
    <t>1.25 kg · m/s</t>
  </si>
  <si>
    <t>2.50 kg · m/s</t>
  </si>
  <si>
    <t>250 kg · m/s</t>
  </si>
  <si>
    <t>1.25 × 10-3 kg · m/s</t>
  </si>
  <si>
    <t>Which of the following is true regarding the two bullets in Stunt 2?</t>
  </si>
  <si>
    <t>Only the total momentum of the system is conserved.</t>
  </si>
  <si>
    <t>Only the kinetic energy of the system is conserved.</t>
  </si>
  <si>
    <t>Both the total momentum and the kinetic energy of the system are conserved.</t>
  </si>
  <si>
    <t>Neither the total momentum nor the kinetic energy of the system are conserved.</t>
  </si>
  <si>
    <t>As the target rotates in Stunt 1, which of following must have zero value?</t>
  </si>
  <si>
    <t>If the first bullet fired in Stunt 1 impacts the target with force F0, with what force will the second bullet need to strike in order to stop the target's rotation?</t>
  </si>
  <si>
    <t>0.5F0</t>
  </si>
  <si>
    <t>F0</t>
  </si>
  <si>
    <t>2F0</t>
  </si>
  <si>
    <t>4F0</t>
  </si>
  <si>
    <t>While performing another stunt, the sharpshooter faces east, and shoots toward a stationary target that is very far away. The wind is blowing to the northeast. How should the shooter alter her aim so as the strike the center of the target?</t>
  </si>
  <si>
    <t>Aim a little north of the target to account for the wind.</t>
  </si>
  <si>
    <t>Aim a little south of the target to account for the wind.</t>
  </si>
  <si>
    <t>Aim a little north of the target to account for the wind, and a little above the target to account for gravity.</t>
  </si>
  <si>
    <t>Aim a little south of the target to account for the wind, and a little above the target to account for gravity.</t>
  </si>
  <si>
    <t>A sharpshooter standing in an open field performs two stunts, firing 5.00-gram bullets at circular targets, each with a diameter of one meter. (Air resistance is negligible in both stunts.)</t>
  </si>
  <si>
    <t>What is the correct molecular geometry of XeF2?</t>
  </si>
  <si>
    <t>Linear</t>
  </si>
  <si>
    <t>Bent</t>
  </si>
  <si>
    <t>T-shaped</t>
  </si>
  <si>
    <t>Trigonal bipyrimidal</t>
  </si>
  <si>
    <t>How many lone electron pairs surround Xe in XeF4?</t>
  </si>
  <si>
    <t>Between XeF6 molecules, which intermolecular force would be most dominant?</t>
  </si>
  <si>
    <t>Ion-ion interactions</t>
  </si>
  <si>
    <t>Ion-dipole interactions</t>
  </si>
  <si>
    <t>Dipole-dipole interactions</t>
  </si>
  <si>
    <t>At STP, what is the volume of the excess fluorine gas following the reaction in Experiment 2, assuming that the reaction goes to completion?</t>
  </si>
  <si>
    <t>2.2 L</t>
  </si>
  <si>
    <t>6.7 L</t>
  </si>
  <si>
    <t>11.2 L</t>
  </si>
  <si>
    <t>17.9 L</t>
  </si>
  <si>
    <t>Gas lasers made of xenon-chloride (308 nm) or argon-fluoride (193 nm) produce photon beams with energies sufficient for medical procedures. Why might xenon-fluoride (351 nm) lasers not be well-suited for medical purposes?</t>
  </si>
  <si>
    <t>Unstable gas-halide molecules cannot produce photons possessing sufficient intensity.</t>
  </si>
  <si>
    <t>The high-energy output of the xenon-fluoride laser is too dangerous.</t>
  </si>
  <si>
    <t>Xenon-fluoride bond excitations exhibit transverse interference.</t>
  </si>
  <si>
    <t>The output frequency of the xenon-fluoride laser is too low.</t>
  </si>
  <si>
    <t>An inorganic chemist decided to synthesize three compounds containing xenon and fluorine.</t>
  </si>
  <si>
    <t>Two marbles are dropped from a height of 200 m and land on the ground below. Both marbles have the same shape, surface area and volume, but Marble A is 1.5 times as dense as Marble B. Both marbles reach a constant velocity before impact with the ground. Which marble will hit the ground first?</t>
  </si>
  <si>
    <t>Marble A</t>
  </si>
  <si>
    <t>Marble B</t>
  </si>
  <si>
    <t>Both hit the floor at the same time</t>
  </si>
  <si>
    <t>At what angle above the horizontal should a projectile fired from the ground be directed to maximize the horizontal distance it will travel before it hits the ground?</t>
  </si>
  <si>
    <t>30°</t>
  </si>
  <si>
    <t>45°</t>
  </si>
  <si>
    <t>60°</t>
  </si>
  <si>
    <t>Methyl red (pKA = 5.0) is a pH indicator dye that is red when protonated and yellow when deprotonated. A student chose to use methyl red as an indicator in her titration of an unknown concentration of HCl into a 250mL solution of 10-2 M NaOH. What will be the color of the solution before the titration begins, at the equivalence point of the titration and at the end point of the titration? (Assume the temperature of the solution remains constant at 25°C)</t>
  </si>
  <si>
    <t>The solution will be yellow before the titration, yellow at the equivalence point and orange at the end point.</t>
  </si>
  <si>
    <t>The solution will be yellow before the titration, yellow at the equivalence point and red at the end point.</t>
  </si>
  <si>
    <t>The solution will be yellow before the titration, orange at the equivalence point and orange at the end point.</t>
  </si>
  <si>
    <t>The solution will be yellow before the titration, orange at the equivalence point and red at the end point.</t>
  </si>
  <si>
    <t>An object with mass m, attached to a spring with spring constant k, oscillates harmonically. If the mass and the spring constant are doubled, how does the period of oscillation change?</t>
  </si>
  <si>
    <t>The period of oscillation halves.</t>
  </si>
  <si>
    <t>The period of oscillation stays the same.</t>
  </si>
  <si>
    <t>The period of oscillation doubles.</t>
  </si>
  <si>
    <t>The period of oscillation quadruples.</t>
  </si>
  <si>
    <t>When the pucks initially collide in Experiment 1, how far has puck A traveled in the y-direction?</t>
  </si>
  <si>
    <t>10 cm</t>
  </si>
  <si>
    <t>35 cm</t>
  </si>
  <si>
    <t>40 cm</t>
  </si>
  <si>
    <t>50 cm</t>
  </si>
  <si>
    <t>Which of the following post-collision observations of Experiment 1 would support the notion that the pucks collided inelastically?</t>
  </si>
  <si>
    <t>Momentum was not conserved.</t>
  </si>
  <si>
    <t>Momentum was conserved.</t>
  </si>
  <si>
    <t>Net work done by the pucks equals zero.</t>
  </si>
  <si>
    <t>Puck B's temperature was higher after the collision.</t>
  </si>
  <si>
    <t>As the puck in Experiment 2 collides with the sensor, the magnitude of the change in the momentum of the puck is:</t>
  </si>
  <si>
    <t>0.75 N·s</t>
  </si>
  <si>
    <t>1.00 N·s</t>
  </si>
  <si>
    <t>1.50 N·s</t>
  </si>
  <si>
    <t>2.00 N·s</t>
  </si>
  <si>
    <t>Suppose the air hockey table is not completely frictionless. If the puck in Experiment 2 loses 6 J of energy, due to friction, over 0.5 m of travel, what is the force due to friction on the puck?</t>
  </si>
  <si>
    <t>3 N</t>
  </si>
  <si>
    <t>6 N</t>
  </si>
  <si>
    <t>12 N</t>
  </si>
  <si>
    <t>30 N</t>
  </si>
  <si>
    <t>During the collision in Experiment 1, which vector represents the acceleration of puck A?</t>
  </si>
  <si>
    <t>A high school physics class performs a set of experiments, in which they examine the properties of a collision. The students place two different pucks, puck A with a mass of 2 kg and puck B with a mass of 3 kg, each with negligible diameter, on an air hockey table. When the air is flowing, the hockey table serves as a frictionless surface. The students perform two separate experiments, detailed below.</t>
  </si>
  <si>
    <t>Which of the following is the correct electronic configuration of the iron (III) ion?</t>
  </si>
  <si>
    <t>[Ar] 4s23d3</t>
  </si>
  <si>
    <t>[Ar] 4s13d4</t>
  </si>
  <si>
    <t>[Ar] 4s13d5</t>
  </si>
  <si>
    <t>[Ar] 3d5</t>
  </si>
  <si>
    <t>What is the concentration of Fe3+ in a saturated solution of Fe(OH)3, given that Ksp(Fe(OH)3) = 2.64 × 10-39?</t>
  </si>
  <si>
    <t>8.71 × 10-14 M</t>
  </si>
  <si>
    <t>8.71 × 10-12 M</t>
  </si>
  <si>
    <t>9.94 × 10-11 M</t>
  </si>
  <si>
    <t>9.94 × 10-9 M</t>
  </si>
  <si>
    <t>Which of the reactions is NOT an oxidation-reduction reaction?</t>
  </si>
  <si>
    <t>Reaction 1</t>
  </si>
  <si>
    <t>Reaction 2</t>
  </si>
  <si>
    <t>Reaction 3</t>
  </si>
  <si>
    <t>Reaction 4</t>
  </si>
  <si>
    <t>What would be the pH if 0.38 g of Fe3+ reacted with 25 L of water, assuming only Reaction 3 contributed to the pH?</t>
  </si>
  <si>
    <t>2.02</t>
  </si>
  <si>
    <t>6.22</t>
  </si>
  <si>
    <t>4.91</t>
  </si>
  <si>
    <t>3.09</t>
  </si>
  <si>
    <t>What would happen if naturally occurring pyrite were located deep beneath a water table in the environment?</t>
  </si>
  <si>
    <t>Little or no oxidation of the disulfide would occur; therefore acidic conditions would not be generated.</t>
  </si>
  <si>
    <t>The water table would provide enough energy to start Reaction 1, acidifying the water table.</t>
  </si>
  <si>
    <t>The disulfide would be hydrolyzed by the water and form the iron (III) hydroxide precipitate.</t>
  </si>
  <si>
    <t>The disulfide will be oxidized and the iron (III) ions reduced, generating highly acidic conditions.</t>
  </si>
  <si>
    <t>Since aquatic life cannot survive once dissolved oxygen levels drop below 50% saturation, the oxidation- reduction reactions of AD are of particular concern to environmentalists. At an atmospheric partial pressure of 0.22 atm, the solubility of oxygen (kH = 1.3 × 10-3 mol/L•atm) is closest to:</t>
  </si>
  <si>
    <t>7.0 × 10-4 mol/L.</t>
  </si>
  <si>
    <t>5.6 × 10-4 mol/L.</t>
  </si>
  <si>
    <t>1.4 × 10-4 mol/L.</t>
  </si>
  <si>
    <t>2.8 × 10-4 mol/L.</t>
  </si>
  <si>
    <t>Acid mine drainage (AMD) or acid rock drainage, collectively called acid drainage (AD), is formed when rock and soil containing certain sulfide minerals are exposed to oxidizing conditions. Most AD is associated with coal mining, but can also occur in metal mining, highway construction, other deep excavation, and rock where natural sulfides reside exposed to oxidizing conditions. The predominant sulfides responsible for AD are pyrite and marcasite; both are iron disulfides. Less abundant sulfides are chalcopyrite (CuFeS2), covellite (CuS), arsenopyrite (FeAsS), chalcocite (Cu2S), galena (PbS), and millerite (NiS) as well as a few others.</t>
  </si>
  <si>
    <t>The Claus process reduces industrial sulfur dioxide emission through the following high temperature, catalytic reaction</t>
  </si>
  <si>
    <t>55%</t>
  </si>
  <si>
    <t>77%</t>
  </si>
  <si>
    <t>88%</t>
  </si>
  <si>
    <t>Two ropes are attached to an object floating in space. One rope is pulled with a force of 10 N; the other is pulled with a 30-N force. The magnitude of the net force on the object could be any of the following EXCEPT</t>
  </si>
  <si>
    <t>10N</t>
  </si>
  <si>
    <t>20N</t>
  </si>
  <si>
    <t>30N</t>
  </si>
  <si>
    <t>40N</t>
  </si>
  <si>
    <t>If the carbon-carbon bond length in C2H2 is 120 pm and the carbon-carbon bond length in C2H4 is 134 pm, which is the most reasonable estimate of the carbon-carbon bond length in C2H6?</t>
  </si>
  <si>
    <t>96 pm</t>
  </si>
  <si>
    <t>109 pm</t>
  </si>
  <si>
    <t>127 pm</t>
  </si>
  <si>
    <t>150 pm</t>
  </si>
  <si>
    <t>Consider a reaction that proceeds by four steps:</t>
  </si>
  <si>
    <t>k[A2][BC]2</t>
  </si>
  <si>
    <t>k[B][BC]</t>
  </si>
  <si>
    <t>k[A2][BC]</t>
  </si>
  <si>
    <t>k[A2C][A2][BC]</t>
  </si>
  <si>
    <t>Two divers enter a diving bell, which is then lowered below the surface of the ocean. As the diving bell descends, the outside pressure on the walls of the bell increases. What effect will this have on the air pressure inside the bell?</t>
  </si>
  <si>
    <t>The air pressure increases.</t>
  </si>
  <si>
    <t>The air pressure remains constant.</t>
  </si>
  <si>
    <t>The air pressure decreases.</t>
  </si>
  <si>
    <t>No conclusion can be drawn on the basis of the information given.</t>
  </si>
  <si>
    <t>When at the surface of the ocean, the air pressure inside the diving bell is the atmospheric pressure P0. Which one of the following expressions correctly gives the air pressure inside the diving bell when the bell is at depth D below the surface?</t>
  </si>
  <si>
    <t>P = P0 + ρg(D+L)</t>
  </si>
  <si>
    <t>P = P0 + ρg(D–L)</t>
  </si>
  <si>
    <t>P = P0 - ρg(D–L)</t>
  </si>
  <si>
    <t>P = P0 - ρg(D+L)</t>
  </si>
  <si>
    <t>If the gauge pressure of the air pocket inside the bell is 2.46 atm, the bell is at a depth of 26 m and the water level inside the bell is 1 m, what is the pressure that the water exerts on the air pocket?</t>
  </si>
  <si>
    <t>1.00 atm</t>
  </si>
  <si>
    <t>1.46 atm</t>
  </si>
  <si>
    <t>2.46 atm</t>
  </si>
  <si>
    <t>3.46 atm</t>
  </si>
  <si>
    <t>Suppose the diving bell is lowered to a depth at which the inside air pressure is twice its value on the surface of the ocean. The temperature of the air is constant. Which of the following correctly expresses the water level L inside the bell?</t>
  </si>
  <si>
    <t>L = 2H</t>
  </si>
  <si>
    <t>L = H</t>
  </si>
  <si>
    <t>L = H/2</t>
  </si>
  <si>
    <t>L = H/4</t>
  </si>
  <si>
    <t>The bell is lowered into pure water (ρ = 1,000 kg/m3) instead of ocean water. At a fixed depth below the surface, what is true about the air pressure in the bell?</t>
  </si>
  <si>
    <t>It is less than it would be if the bell were submerged in ocean water.</t>
  </si>
  <si>
    <t>It is the same as it would be if the bell were submerged in ocean water.</t>
  </si>
  <si>
    <t>It is greater than it would be if the bell were submerged in ocean water.</t>
  </si>
  <si>
    <t>There is not enough information available to compare it to the air pressure if the bell were submerged in ocean water.</t>
  </si>
  <si>
    <t>An object with a mass of 2.2 × 105 kg and a volume of 25 m3, is submerged and completely surrounded by ocean water, inside and out. What is the minimum force needed to lift it, to bring it closer to the surface?</t>
  </si>
  <si>
    <t>1.0 × 105 N</t>
  </si>
  <si>
    <t>1.9 × 106 N</t>
  </si>
  <si>
    <t>2.2 × 106 N</t>
  </si>
  <si>
    <t>3.2 × 106 N</t>
  </si>
  <si>
    <t>According to Boyle's law, the volume of a gas, at constant temperature, varies inversely with the pressure. One example in which Boyle's law comes into play is the diving bell. Figure 1 shows a simple diving bell, which consists of a large cylindrical canister of vertical length H that is lowered a depth D below the surface of the ocean. (1,024 kg/m3)</t>
  </si>
  <si>
    <t>At 3.5 atm and 106ºC both chemists would conclude which process for Compound A has the most negative value of ΔG?</t>
  </si>
  <si>
    <t>Sublimation</t>
  </si>
  <si>
    <t>Vaporization</t>
  </si>
  <si>
    <t>Condensation</t>
  </si>
  <si>
    <t>Deposition</t>
  </si>
  <si>
    <t>According to Chemist 2, at which temperature and pressure is Compound A most compressible?</t>
  </si>
  <si>
    <t>250 K, 0.67 atm</t>
  </si>
  <si>
    <t>310 K, 0.1 atm</t>
  </si>
  <si>
    <t>325 K, 7.5 atm</t>
  </si>
  <si>
    <t>437 K, 5 atm</t>
  </si>
  <si>
    <t>For which substance is the density of the liquid greater than the density of the solid?</t>
  </si>
  <si>
    <t>Which of the following is a possible value of the enthalpy of sublimation for Compound A?</t>
  </si>
  <si>
    <t>-12.88 kJ mol-1</t>
  </si>
  <si>
    <t>2.76 kJ mol-1</t>
  </si>
  <si>
    <t>19.32 kJ mol-1</t>
  </si>
  <si>
    <t>38.64 kJ mol-1</t>
  </si>
  <si>
    <t>If Chemist 1 had constructed an accurate phase diagram, which scenario provides the best explanation for why Chemist 2 obtained an erroneous phase diagram?</t>
  </si>
  <si>
    <t>When preparing the sample, Chemist 2 had Lanthanum(III) chloride (LaCl3) on his hands.</t>
  </si>
  <si>
    <t>Chemist 2 used twice as much sample as Chemist 1.</t>
  </si>
  <si>
    <t>Chemist 2 used different combinations of temperature and pressure to determine his results.</t>
  </si>
  <si>
    <t>Chemist 2 began his experiment above the critical temperature of Compound A.</t>
  </si>
  <si>
    <t>According to Chemist 1, the pressure and temperature at which the density of Compound A is closest to the density of O2 at STP are:</t>
  </si>
  <si>
    <t>0.5 atm, 450 K</t>
  </si>
  <si>
    <t>1.0 atm, 273 K</t>
  </si>
  <si>
    <t>1.0 atm, 298 K</t>
  </si>
  <si>
    <t>2.7 atm, 300 K</t>
  </si>
  <si>
    <t>Two chemists devise an experiment to determine the physical properties of a newly discovered Compound A. Chemist 1 places 50 g of Compound A in an airtight chamber that allows for precise manipulation of pressure and temperature. After analyzing the sample at multiple ambient conditions, Chemist 1 determines the phase diagram for Compound A, shown in Figure 1.</t>
  </si>
  <si>
    <t>The melting point of carbon, about 3550ºC, is higher than the melting points of tungsten and rhenium, yet graphite is not used as a target material. This is because:</t>
  </si>
  <si>
    <t>carbon is not a metal.</t>
  </si>
  <si>
    <t>the carbon nucleus has six protons.</t>
  </si>
  <si>
    <t>carbon will react with the anode material.</t>
  </si>
  <si>
    <t>carbon will oxidize in the glass bulb when heated.</t>
  </si>
  <si>
    <t>A scientist sets up a hot-cathode tube with an 80 kV potential between the cathode and the anode, and a tungsten target. What percentage of the electrical energy striking the anode is wasted as heat?</t>
  </si>
  <si>
    <t>0.4%</t>
  </si>
  <si>
    <t>40.8%</t>
  </si>
  <si>
    <t>59.2%</t>
  </si>
  <si>
    <t>99.6%.</t>
  </si>
  <si>
    <t>A particular beam of x-rays has a typical wavelength of 2 × 10-11 m. What is the energy of one x-ray photon?</t>
  </si>
  <si>
    <t>4.4 × 10-15 J</t>
  </si>
  <si>
    <t>2.0 × 10-11 J</t>
  </si>
  <si>
    <t>9.9 × 10-15 J</t>
  </si>
  <si>
    <t>2.0 × 10-15 J</t>
  </si>
  <si>
    <t>The x-rays obtain their energy from:</t>
  </si>
  <si>
    <t>absorption of heat from the cathode.</t>
  </si>
  <si>
    <t>the kinetic energy of the electrons striking the anode.</t>
  </si>
  <si>
    <t>the heat produced at the anode.</t>
  </si>
  <si>
    <t>the reflection of photons by the metal housing.</t>
  </si>
  <si>
    <t>What is the purpose of the tube voltage?</t>
  </si>
  <si>
    <t>To heat the tungsten filament.</t>
  </si>
  <si>
    <t>To heat the anode, causing the release of x-rays.</t>
  </si>
  <si>
    <t>To provide a potential difference between the cathode and the anode.</t>
  </si>
  <si>
    <t>To increase the energy of x-rays that strike the anode.</t>
  </si>
  <si>
    <t>Which configuration would create x-ray production most efficiently?</t>
  </si>
  <si>
    <t>A tungsten anode with a 10000 V potential difference between the cathode and the anode.</t>
  </si>
  <si>
    <t>A tungsten anode with a 300 kV potential difference between the cathode and the anode.</t>
  </si>
  <si>
    <t>A rhenium anode with a 10000 V potential difference between the cathode and the anode.</t>
  </si>
  <si>
    <t>A rhenium anode with a 300 kV potential difference between the cathode and the anode.</t>
  </si>
  <si>
    <t>In 1913, William Coolidge invented the hot-cathode tube as a more efficient way of generating x-rays. A diagram of the tube is shown in Figure 1:</t>
  </si>
  <si>
    <t>For the general reaction of an acid with water,</t>
  </si>
  <si>
    <t>there is one mole of hydronium ion for each mole of HA at equilibrium.</t>
  </si>
  <si>
    <t>there are more products than reactants in number at equilibrium.</t>
  </si>
  <si>
    <t>there are 5 moles of hydronium ion per 100 moles of HA at equilibrium.</t>
  </si>
  <si>
    <t>the majority of acid molecules remain undissociated at equilibrium.</t>
  </si>
  <si>
    <t>Which of the following is NOT an amphoteric species?</t>
  </si>
  <si>
    <t>HNO3</t>
  </si>
  <si>
    <t>HSO4-</t>
  </si>
  <si>
    <t>Which of the statements below follows directly from an assumption made in the kinetic theory of gases?</t>
  </si>
  <si>
    <t>Two nearby molecules of the same charge repel each other.</t>
  </si>
  <si>
    <t>A molecule's collision with the container results in no energy loss.</t>
  </si>
  <si>
    <t>At high pressures, molecules are separated by large distances.</t>
  </si>
  <si>
    <t>During collisions with each other, molecules exert no forces on one another.</t>
  </si>
  <si>
    <t>Which is the correct orientation of the dipole movement in NH3?</t>
  </si>
  <si>
    <t>A sound wave oscillates in a pipe of length L. One end of the pipe is open, and the other end is closed. Which of the following could be the wavelength of the sound wave?</t>
  </si>
  <si>
    <t>L/4</t>
  </si>
  <si>
    <t>L</t>
  </si>
  <si>
    <t>2L</t>
  </si>
  <si>
    <t>4L</t>
  </si>
  <si>
    <t>Based on the information in the passage, which of the following is LEAST likely to have been the subject of a painting of the sublime?</t>
  </si>
  <si>
    <t>a cathedral in the center of a city</t>
  </si>
  <si>
    <t>a storm at sea</t>
  </si>
  <si>
    <t>the eruption of a volcano</t>
  </si>
  <si>
    <t>wheat fields by a country road</t>
  </si>
  <si>
    <t>According to the author, Burke contributed to the development of the concept of the sublime by:</t>
  </si>
  <si>
    <t>classifying the genres of the sublime in art.</t>
  </si>
  <si>
    <t>broadening the conception of the sublime to include nature.</t>
  </si>
  <si>
    <t>giving a more clear-cut definition of the sublime than earlier writers.</t>
  </si>
  <si>
    <t>defining some of the qualities in nature that could be considered sublime.</t>
  </si>
  <si>
    <t>According to the passage, which of the following helped change the conception of the sublime in the eighteenth century?</t>
  </si>
  <si>
    <t>The author suggests that as the concept of the sublime developed:</t>
  </si>
  <si>
    <t>it lost its connotations of closeness to divinity.</t>
  </si>
  <si>
    <t>historical and epic subjects were no longer seen as embodying the sublime.</t>
  </si>
  <si>
    <t>connotations previously restricted to the human figure were applied to natural scenes.</t>
  </si>
  <si>
    <t>painters ceased to see Biblical stories as appropriate subjects.</t>
  </si>
  <si>
    <t>In the fourth paragraph, the author suggests the "rise of a middle class with the leisure to travel":</t>
  </si>
  <si>
    <t>explains the popularity of Turner's Welsh and Scottish landscapes.</t>
  </si>
  <si>
    <t>led to increased popular interest in the sublime.</t>
  </si>
  <si>
    <t>clarifies the origins of Turner's interest in natural subjects.</t>
  </si>
  <si>
    <t>influenced cultural sensibilities toward nature.</t>
  </si>
  <si>
    <t>According to the passage, landscapes were not originally seen as embodying the sublime because:</t>
  </si>
  <si>
    <t>the narrative connotations of the sublime implied an emphasis on the human figure.</t>
  </si>
  <si>
    <t>only religious subjects were seen as embodying the sublime.</t>
  </si>
  <si>
    <t>Michelangelo did not paint landscapes.</t>
  </si>
  <si>
    <t>landscape was viewed purely as the visual representation of everyday nature scenes.</t>
  </si>
  <si>
    <t>The author gives specific examples of all of the following EXCEPT:</t>
  </si>
  <si>
    <t>the conception of the sublime held in antiquity.</t>
  </si>
  <si>
    <t>the subject matter which might be considered as representing the "terrific."</t>
  </si>
  <si>
    <t>a work of visual art considered as embodying the sublime by an eighteenth century authority.</t>
  </si>
  <si>
    <t>a conception similar to that of the sublime in a non-artistic context.</t>
  </si>
  <si>
    <t>Given his luminous treatment of light, sky, and water, J.M.W. Turner (1775–1851) is often viewed in hindsight as a precursor of Impressionism. Yet as Turner authority Andrew Wilton has argued, his roots lie in a specifically eighteenth-century tradition, that of the "sublime." Before landscape painting was accepted in England as the rendition of everyday reality, it was seen as the expression of a state of spiritual exaltation.</t>
  </si>
  <si>
    <t>It can be inferred that the author believes the "encouraging statistics" produced by affirmative action (paragraph 1):</t>
  </si>
  <si>
    <t>are based on an unrepresentative sample of working Black people.</t>
  </si>
  <si>
    <t>give the impression of an improvement in conditions for Black people in general.</t>
  </si>
  <si>
    <t>are invalidated by more reliable data.</t>
  </si>
  <si>
    <t>represent the status of only non-urban residents.</t>
  </si>
  <si>
    <t>William Julius Wilson's argument (paragraph 1) depends on which of the following assumptions?</t>
  </si>
  <si>
    <t>Unemployment rates for Black people will continue to rise.</t>
  </si>
  <si>
    <t>Black workers are no longer willing to perform low-status labor.</t>
  </si>
  <si>
    <t>Poor families headed by women have little social or economic mobility.</t>
  </si>
  <si>
    <t>Most families on welfare are headed by females.</t>
  </si>
  <si>
    <t>In the third paragraph, the author quotes from Kenneth Clark in order to indicate that:</t>
  </si>
  <si>
    <t>Clark's argument exemplifies the misinterpretation which prevailed in the late sixties.</t>
  </si>
  <si>
    <t>Clark had some awareness of the class issues that the author believes should be emphasized.</t>
  </si>
  <si>
    <t>Clark was the most effective opponent of the Black Power movement.</t>
  </si>
  <si>
    <t>Clark emphasized economic causes over psychological effects.</t>
  </si>
  <si>
    <t>It can be inferred that scholars associated with the Black Power movement rejected Kenneth Clark's analysis primarily because Clark:</t>
  </si>
  <si>
    <t>underestimated the pervasiveness of racism.</t>
  </si>
  <si>
    <t>dealt insufficiently with economic factors.</t>
  </si>
  <si>
    <t>saw ghetto social patterns as harmful and self-perpetuating.</t>
  </si>
  <si>
    <t>applied essentially racist criteria.</t>
  </si>
  <si>
    <t>Judging from the passage, the author would probably support which of the following types of remedial action?</t>
  </si>
  <si>
    <t>more stringent enforcement of affirmative action policies</t>
  </si>
  <si>
    <t>major changes in the structure of the welfare program</t>
  </si>
  <si>
    <t>the repeal of affirmative action legislation</t>
  </si>
  <si>
    <t>incentives for manufacturers in urban locations</t>
  </si>
  <si>
    <t>Granted, affirmative action policies have produced certain encouraging statistics—the number of Black professionals is now 250 percent of the 1965 figure—but other indicators show overall deterioration in the economic condition of the majority of Black people since the mid-fifties. At the time of the Civil Rights Act of 1964, the average Black family income was 61 percent of that of its white counterpart. By 1978, that figure was 50 percent. Unemployment rates for young Black males are increasing faster than those of any other group; meanwhile, the proportion of Black workers able to find the unskilled jobs traditionally available to them is steadily decreasing. William Julius Wilson suggests that these two facts, taken together, foreshadow the perpetuation of current ghetto conditions. Males with no work experience are unable to secure even low-status labor to support themselves and their families; in the past, this has often resulted in their leaving home, for both emotional and economic reasons. Women thus become the heads of families trapped in long-term poverty.</t>
  </si>
  <si>
    <t>The author cites the example of the North American incest taboo (3rd paragraph) in order to:</t>
  </si>
  <si>
    <t>show that developed nations have the most rational incest taboos.</t>
  </si>
  <si>
    <t>prove the biological nature of marriage prohibitions.</t>
  </si>
  <si>
    <t>cast doubt on cultural theories of marriage prohibitions.</t>
  </si>
  <si>
    <t>compare forms of morality worldwide as seen in marriage practices.</t>
  </si>
  <si>
    <t>Which of the following pieces of evidence, if true, would cast the most doubt on Lévi-Strauss' theory explaining the incest taboo?</t>
  </si>
  <si>
    <t>Scientists find that birth defects frequently appear in communities which "marry in" over generations, including communities where cousin-marriage is standard.</t>
  </si>
  <si>
    <t>Missionaries discover an isolated culture in New Guinea, whose members always marry within the group, and who display unusual serenity and health.</t>
  </si>
  <si>
    <t>Historians examining royal families in Europe note that the most successful dynasties are those whose daughters regularly marry into royal families in neighboring countries.</t>
  </si>
  <si>
    <t>Anthropologists note that the marriage prohibitions among a pastoral group in East Africa are identical to the prohibitions among a village society in highland Southeast Asia; however, other aspects of their culture do not coincide.</t>
  </si>
  <si>
    <t>The passage implies that manifestations of the incest taboo are different in different societies because:</t>
  </si>
  <si>
    <t>the level of cultural development varies in different parts of the world.</t>
  </si>
  <si>
    <t>in the Middle East, cousin marriage is permissible, but many other societies forbid marriage with cousins.</t>
  </si>
  <si>
    <t>each continent developed its own taboo due to environmental variables.</t>
  </si>
  <si>
    <t>the incest taboo is related to other aspects of the social organization in a society.</t>
  </si>
  <si>
    <t>The passage suggests that which aspect of the incest taboo has made it an unusually difficult phenomenon to explain?</t>
  </si>
  <si>
    <t>It occurs only in humans.</t>
  </si>
  <si>
    <t>It is unrelated to other aspects of culture.</t>
  </si>
  <si>
    <t>It can never be violated.</t>
  </si>
  <si>
    <t>It is global, but unique everywhere.</t>
  </si>
  <si>
    <t>According to the passage, Lévi-Strauss' theory explains that "the enormous success of the human species" (4th paragraph, 7th sentence) was due in part to:</t>
  </si>
  <si>
    <t>ensuring privileges for noble and royal lineages, to preserve societies.</t>
  </si>
  <si>
    <t>the avoidance of birth defects caused by marrying within the family.</t>
  </si>
  <si>
    <t>relationships among communities helping them to withstand hardship.</t>
  </si>
  <si>
    <t>humans' cultural ability to perpetuate the social system in which they are born.</t>
  </si>
  <si>
    <t>Every known human society prohibits marriage between close relatives. This regulation has perplexed anthropologists for decades, because despite its universality, the incest taboo varies—relatives acceptable as marriage partners in some societies are unacceptable in others. Since it is both universal and variable, the incest prohibition takes on aspects of both biology and culture. French anthropologist and Structuralist Claude Lévi-Strauss attempts to account for both of these factors by envisioning marriage as a kind of circulation or exchange.</t>
  </si>
  <si>
    <t>The author's description of the supercontinent Pangaea supports the scientific hypothesis that:</t>
  </si>
  <si>
    <t>foraminifera mainly consist of marine protozoans.</t>
  </si>
  <si>
    <t>rocks from the athenosphere travel down to the lithosphere.</t>
  </si>
  <si>
    <t>plate tectonics explains the formation of karst.</t>
  </si>
  <si>
    <t>plate tectonics explains how rocks formed in one environment can be found in the opposite environment.</t>
  </si>
  <si>
    <t>It can be inferred from the passage that by the Triassic period:</t>
  </si>
  <si>
    <t>Pangaea was just assembling as a super-continent.</t>
  </si>
  <si>
    <t>Pangaea had broken up.</t>
  </si>
  <si>
    <t>the Tarleton limestone was in the Tropics.</t>
  </si>
  <si>
    <t>the Tarleton limestone remained above the Equator.</t>
  </si>
  <si>
    <t>According to the passage, plate tectonics explains how protozoans that formed near the Equator came to be found in rock deposits now located at latitudes not conducive to their growth. Which of the following would most weaken the author's conclusions about how the limestone came to be off Chile's coast?</t>
  </si>
  <si>
    <t>Dating of the Chilean mainland to a different period than the Tarleton limestone</t>
  </si>
  <si>
    <t>Evidence that the assimilation of the super-continent of Pangaea was a gradual process</t>
  </si>
  <si>
    <t>Evidence that the Chilean coast never experienced volcanic or earthquake activity</t>
  </si>
  <si>
    <t>The association of abundant sunshine with coral reef formation</t>
  </si>
  <si>
    <t>The author discusses the Tarleton limestone in order to:</t>
  </si>
  <si>
    <t>introduce terminology for understanding foraminifera.</t>
  </si>
  <si>
    <t>determine the age of a group of islands off the southern coast of Chile.</t>
  </si>
  <si>
    <t>explain the terrain of southern Chile.</t>
  </si>
  <si>
    <t>explain plate tectonics.</t>
  </si>
  <si>
    <t>It can be construed from the passage that one of the contributions of the theory of plate tectonics to the understanding of paleogeology is:</t>
  </si>
  <si>
    <t>an explanation for how marine protozoans form limestone.</t>
  </si>
  <si>
    <t>the ability for scientists to predict earthquakes and other seismic occurrences.</t>
  </si>
  <si>
    <t>an explanation for continental drift.</t>
  </si>
  <si>
    <t>the confirmation for the depths of different strata in the Earth's mantle.</t>
  </si>
  <si>
    <t>Which of the following discoveries would best support the author's argument that an equatorial coral reef was widely dispersed by plate tectonics?</t>
  </si>
  <si>
    <t>Madagascar and Chile are the same age.</t>
  </si>
  <si>
    <t>Madagascar was once part of India.</t>
  </si>
  <si>
    <t>Fossilized protozoans the same age as the fossil foraminfera on Tarleton Island were found on Madagascar.</t>
  </si>
  <si>
    <t>Fossils of the same chemical make-up as the Tarleton limestone can only be found off Chile's coast.</t>
  </si>
  <si>
    <t>Remote karst islands off the southern coast of Chile contain some of the world's most inaccessible caves. A scattered and relatively rare geologic feature, karst forms when acidic groundwater and rainwater create tunnels, caverns, underground streams, and caves in limestone. Paleogeologists studied the region's geologic history by using plate tectonics to identify how these islands settled in their present positions.</t>
  </si>
  <si>
    <t>Presumably, an animal could get back to its original starting point by making all its movements in reverse. According to the author, why might this system not actually work?</t>
  </si>
  <si>
    <t>Since the animal would have to integrate all its body movements into a system of where it was, small body movements could throw its computations off.</t>
  </si>
  <si>
    <t>It is impossible to use this information since such information is not detailed enough.</t>
  </si>
  <si>
    <t>Body kinesthetic information is inherently subject to large errors from such sources as the sun.</t>
  </si>
  <si>
    <t>There is no evidence to suggest that kinesthetic maps could not actually work as well as other types of maps.</t>
  </si>
  <si>
    <t>Based on the information in the passage, why might animals use a configuration of landmarks instead of a single landmark?</t>
  </si>
  <si>
    <t>It is easier to remember where many objects are versus just one object.</t>
  </si>
  <si>
    <t>It is easier to identify many objects versus one object.</t>
  </si>
  <si>
    <t>It is less likely that the position of many objects would change than that the position of one object would change.</t>
  </si>
  <si>
    <t>It is more likely that the position of many objects would change than that the position of one object would change.</t>
  </si>
  <si>
    <t>What are the implications of the fact that many animals use similar cues when finding objects?</t>
  </si>
  <si>
    <t>There may be something about the brain that requires them to use similar cues.</t>
  </si>
  <si>
    <t>They may be something in the muscles that are similar across animals.</t>
  </si>
  <si>
    <t>It is probably random that animals use similar cues.</t>
  </si>
  <si>
    <t>It has not been shown that animals use similar cues.</t>
  </si>
  <si>
    <t>Animals that use configuration cues are most likely to rely on what sensory organ?</t>
  </si>
  <si>
    <t>Hearing, because sounds are usually specific to one location.</t>
  </si>
  <si>
    <t>Sight, because this allows configurations to be detected at a distance.</t>
  </si>
  <si>
    <t>Sight, because objects always look the same from any orientation.</t>
  </si>
  <si>
    <t>Touch, because this is the only sense that allows animals to identify objects unambiguously.</t>
  </si>
  <si>
    <t>If we discovered a new animal, and we trained it to expect food at a location we selected, what cues might it use to find the food if we released it?</t>
  </si>
  <si>
    <t>There is no way to tell what cues it might use.</t>
  </si>
  <si>
    <t>It would probably use kinesthetic cues to find food.</t>
  </si>
  <si>
    <t>It would probably use properties of landmarks to find food.</t>
  </si>
  <si>
    <t>It would probably use configurations of landmarks to find food.</t>
  </si>
  <si>
    <t>Any theory of spatial representation must assume a moving animal. In other words, when thinking about cognitive maps, we should first ask ourselves what information would most help a motile animal navigate. Here, I think we need to consider two classes of objects: those that move and those that do not. When constructing spatial maps, animals will rely on stationary objects in their environments.</t>
  </si>
  <si>
    <t>The author mentions Freud’s theories in the first paragraph in order to:</t>
  </si>
  <si>
    <t>demonstrate that applying psychoanalytic theories to literature is an invalid manner of examining children’s stories.</t>
  </si>
  <si>
    <t>support the thesis that the structure and content of traditional fairy tales can show children how to overcome obstacles and struggles.</t>
  </si>
  <si>
    <t>argue that modern children’s stories have been founded upon the refutation of the human struggle against overwhelming odds.</t>
  </si>
  <si>
    <t>provide support for the claim that the essential nature of humans is good rather than evil.</t>
  </si>
  <si>
    <t>The concluding paragraph of the passage relies on which of the following assumptions?</t>
  </si>
  <si>
    <t>Successful interpersonal relationships are the only source of meaning in human lives.</t>
  </si>
  <si>
    <t>Children are capable of distinguishing between fiction and reality on a semantic level.</t>
  </si>
  <si>
    <t>Parents’ desires to protect their children from the harsh realities of life are undermined by the classic fairy tale plot.</t>
  </si>
  <si>
    <t>Vague childhood fears are always indirect proof of negative feelings that are difficult to articulate.</t>
  </si>
  <si>
    <t>All of the following are presented as positive effects of the inherent polarization of good and evil in fairy tales EXCEPT:</t>
  </si>
  <si>
    <t>fairy tales permit children to struggle with difficult issues in their most simple forms.</t>
  </si>
  <si>
    <t>both good and evil are constantly in evidence so that children can draw parallels between the story and what they experience in life.</t>
  </si>
  <si>
    <t>simplistic characters allow children to understand differences between polar opposites more readily than complex or ambiguous characters.</t>
  </si>
  <si>
    <t>the triumph of good over evil imparts important moral lessons and values to children.</t>
  </si>
  <si>
    <t>Which of the following, if true, would most strengthen the author’s assertion in Paragraph 1 that a child “needs to be given suggestions in symbolic form about how to deal with these issues and grow safely into maturity”?</t>
  </si>
  <si>
    <t>Parents cannot always provide their offspring with appropriate models for confronting challenges.</t>
  </si>
  <si>
    <t>Results of early education studies have shown that children in elementary school prefer fictional representations of difficult issues.</t>
  </si>
  <si>
    <t>Children respond instinctively to their experiences in ways that do not allow them to develop meaningful responses to life and death situations.</t>
  </si>
  <si>
    <t>Young children are not capable of comprehending the underlying meaning of the predicaments presented in fairy tales.</t>
  </si>
  <si>
    <t>It can be inferred from the passage that the author would agree with which of the following?</t>
  </si>
  <si>
    <t>Authors of children’s stories are well-intentioned but misguided in their re-structuring of classic fairy tales to make them more palatable to parents.</t>
  </si>
  <si>
    <t>Modern children’s literature has deviated from the traditional fairy tale in ways that are detrimental to the development of children’s evolution into adulthood.</t>
  </si>
  <si>
    <t>Although traditional fairy tales often include evil and malignant characters, these negative forces have no impact on children’s understanding of basic human nature.</t>
  </si>
  <si>
    <t>Fairy tales represent goals and standards that may discourage children once they realize that such perfect lives are impossible to achieve.</t>
  </si>
  <si>
    <t>Based on the information in the passage, the author would consider a story a “safe story” only if it was one in which:</t>
  </si>
  <si>
    <t>problems are constructively solved.</t>
  </si>
  <si>
    <t>life is viewed without a “dark side”.</t>
  </si>
  <si>
    <t>virtue often triumphs over evil.</t>
  </si>
  <si>
    <t>people are portrayed with compassion.</t>
  </si>
  <si>
    <t>The author refers to “Freud’s prescription” in discussing psychoanalysis (first paragraph) primarily in order to:</t>
  </si>
  <si>
    <t>reconcile opposing positions.</t>
  </si>
  <si>
    <t>expose a contradiction.</t>
  </si>
  <si>
    <t>provide an analogy.</t>
  </si>
  <si>
    <t>clarify a view.</t>
  </si>
  <si>
    <t>The dominant culture wishes to pretend, particularly where children are concerned, that the dark side of humanity does not exist. Psychoanalysis itself is viewed as having the purpose of making life easy. But psychoanalysis was created to enable humans to accept the problematic nature of life without being defeated by it, or giving in to escapism. Freud's prescription is that only by struggling against what seem like overwhelming odds can individuals find meaning in their existence. This is exactly the message that traditional fairy tales get across to the child: that a struggle against severe difficulties is an intrinsic part of existence. Modern stories written for children mainly avoid these existential problems, although they are crucial issues. The child needs to be given suggestions in symbolic form about how to deal with these issues and grow safely into maturity. "Safe" stories mention neither death nor aging, the limits to our existence, nor the wish for eternal life. The fairy tale, by contrast, confronts the child with basic predicaments.</t>
  </si>
  <si>
    <t>John Berger's thesis would most aptly fit which of the following scenarios?</t>
  </si>
  <si>
    <t>A woman watches another woman</t>
  </si>
  <si>
    <t>A woman looks at a painting of Venus on a Half Shell</t>
  </si>
  <si>
    <t>A man watches a woman looking at a painting of Venus on a Half Shell</t>
  </si>
  <si>
    <t>A woman watches a man watching her</t>
  </si>
  <si>
    <t>William Butler Yeats is arguably Ireland's most famous poet. This:</t>
  </si>
  <si>
    <t>weakens the author's argument that Maud Gonne is historically important.</t>
  </si>
  <si>
    <t>weakens the author's argument that Yeats wanted to accurately depict Gonne but did not have the language for it.</t>
  </si>
  <si>
    <t>strengthens the author's argument that Maud Gonne's pervasive image creates a skewed view of womanhood.</t>
  </si>
  <si>
    <t>strengthens the author's argument that Yeats' fame obscured the historical truth.</t>
  </si>
  <si>
    <t>Suppose that future studies show that some female writers use Cuchulain and other mythic heroes to describe men. The author would probably revise her essay by:</t>
  </si>
  <si>
    <t>adding a reference to heroic men of the past.</t>
  </si>
  <si>
    <t>adding a reference to men being mythologized.</t>
  </si>
  <si>
    <t>removing references to Eavan Boland.</t>
  </si>
  <si>
    <t>removing all references to female heroines.</t>
  </si>
  <si>
    <t>In her poem "Tirade for the Mimic Muse" Eavan Boland dramatizes a confrontation between a female muse and herself as the poet. In the context of this passage, this could show:</t>
  </si>
  <si>
    <t>how the muse mimics real women.</t>
  </si>
  <si>
    <t>how poets use the technique of personification.</t>
  </si>
  <si>
    <t>how mythical women inhibit the growth of female consciousness.</t>
  </si>
  <si>
    <t>how the poet destroys the image created by mythical women.</t>
  </si>
  <si>
    <t>Eavan Boland sees national traditions as a means to edit out complexities which do not suit the nation's program. How could this fit into the main idea of the passage?</t>
  </si>
  <si>
    <t>Nationalism smoothes over past conflicts</t>
  </si>
  <si>
    <t>Women's realities are one of those complexities</t>
  </si>
  <si>
    <t>Ireland's nationalism edited out vast differences within its population</t>
  </si>
  <si>
    <t>Ireland's complex relationship with England was reduced to characterizations</t>
  </si>
  <si>
    <t>Myth is a word laden with meaning, particularly in Ireland, which has an often destructive, almost cult-like dependence on mythology. In particular Ireland's mythologizing of women has altered its perception of everything female—beauty, sexuality, voice and intelligence.</t>
  </si>
  <si>
    <t>The mutation that causes sickle-cell disease occurs in the:</t>
  </si>
  <si>
    <t>β chain of the hemoglobin protein when valine is substituted for glutamic acid at position 6.</t>
  </si>
  <si>
    <t>gene coding for the β chain of the hemoglobin molecule.</t>
  </si>
  <si>
    <t>ribosomal subunit, such that a translation error allows a valine to be attached to the growing Hb polypeptide chain instead of a glutamic acid.</t>
  </si>
  <si>
    <t>mRNA coding for the hemoglobin β chain.</t>
  </si>
  <si>
    <t>Individuals who are heterozygous for the sickle-cell allele have sickle-cell trait and rarely exhibit disease symptoms. What is the chance that a child born to parents who both have sickle-cell trait will have the full-blown disease?</t>
  </si>
  <si>
    <t>If 4% of the individuals in a population are affected by sickle-cell anemia, approximately what percent of this population will be carriers of the Hb-S allele but will not be affected by the disease?</t>
  </si>
  <si>
    <t>20%</t>
  </si>
  <si>
    <t>34%</t>
  </si>
  <si>
    <t>62%</t>
  </si>
  <si>
    <t>79%</t>
  </si>
  <si>
    <t>The type of mutation that results in sickle-cell anemia is characterized as a:</t>
  </si>
  <si>
    <t>nonsense mutation.</t>
  </si>
  <si>
    <t>missense mutation.</t>
  </si>
  <si>
    <t>deletion mutation.</t>
  </si>
  <si>
    <t>frameshift mutation.</t>
  </si>
  <si>
    <t>Based on the information presented in the passage, which of the following therapeutic agents will be LEAST effective in preventing or alleviating the effects of sickle-cell anemia disorder?</t>
  </si>
  <si>
    <t>Administering a drug that increases the amounts of Hb-F and decreases the amounts of Hb-S synthesized in erythrocytes</t>
  </si>
  <si>
    <t>Administering a drug that prevents blood from clotting</t>
  </si>
  <si>
    <t>Administering a drug that prevents interactions between hemoglobin molecules</t>
  </si>
  <si>
    <t>Administering antidiuretic hormone</t>
  </si>
  <si>
    <t>In children with sickle-cell anemia the spleen often becomes enlarged and traps red blood cells, making anemia more severe. Later in life, the spleen can wither away completely. Which of the following may be observed in patients with no spleen?</t>
  </si>
  <si>
    <t>Lowered resistance to infection</t>
  </si>
  <si>
    <t>Inability to regulate salt and water balance</t>
  </si>
  <si>
    <t>Reduced ability to regulate bone homeostasis</t>
  </si>
  <si>
    <t>Impaired digestion of amino acids from the intestine</t>
  </si>
  <si>
    <t>Sickle-cell anemia is an autosomal recessive disorder that affects erythrocytes. Erythrocytes transport oxygen throughout the body using a protein called hemoglobin (Hb), which consists of two α and two β chains of globular protein. Fetal Hb (Hb-F), in which γ chains replace β chains, is gradually eliminated in the first few months of life until it comprises less than 2% of total adult Hb (Hb-A). Normal adult blood also contains a small amount of Hb-A2, composed of α and δ chains.</t>
  </si>
  <si>
    <t>The respiratory chain electron carrier ubiquinone can accept electrons not only from NADH, but also from a Krebs cycle intermediate called succinate. The presence of succinate in the mitochondrial matrix will:</t>
  </si>
  <si>
    <t>lead to an increase in the number of H+ ions that are transported from the mitochondrial matrix to the intermembrane space.</t>
  </si>
  <si>
    <t>lead to an increase in the amount of reduced NADH in the mitochondrial matrix.</t>
  </si>
  <si>
    <t>have no effect on the amount of ATP produced.</t>
  </si>
  <si>
    <t>decrease the rate of ATP synthesis.</t>
  </si>
  <si>
    <t>If cells are supplied with a large amount of glucose and the fermentation and cellular respiration pathways are blocked, all of the following may occur EXCEPT:</t>
  </si>
  <si>
    <t>Products of glycolysis such as pyruvate will accumulate inside the cells.</t>
  </si>
  <si>
    <t>Cells will produce 4 molecules of ATP for every glucose molecule broken down.</t>
  </si>
  <si>
    <t>Glycolysis will continue until all molecules of NAD+ are reduced to NADH.</t>
  </si>
  <si>
    <t>Cells will produce a maximum of 2 molecules of ATP for every glucose molecule broken down.</t>
  </si>
  <si>
    <t>Prokaryotes carry out oxidative phosphorylation by building a pH gradient across their plasma membrane. Nigericin is an agent that interacts with the bacterial membrane and acts as a K+/H+ antiport by carrying H+ down its concentration gradient, and K+ in the opposite direction. Which of the following will be observed following the addition of nigericin to bacterial cells?</t>
  </si>
  <si>
    <t>The amount of ATP produced by the cells will increase.</t>
  </si>
  <si>
    <t>Bacterial cells will swell because of increased osmolarity in the cytosol.</t>
  </si>
  <si>
    <t>The amount of ATP produced by the cells will remain the same.</t>
  </si>
  <si>
    <t>Bacteria will be less efficient in making ATP.</t>
  </si>
  <si>
    <t>Based on the chemiosmotic model, which of the following will occur when isolated mitochondria that have been maintained in a solution at pH 8 until saturation are suddenly transferred into a second solution at pH 4 containing ADP and Pi (inorganic phosphate)?</t>
  </si>
  <si>
    <t>No ATP will be produced.</t>
  </si>
  <si>
    <t>There will be a burst of ATP production.</t>
  </si>
  <si>
    <t>The rate of ATP production will be unchanged.</t>
  </si>
  <si>
    <t>ATP will be converted to ADP and Pi.</t>
  </si>
  <si>
    <t>Which of the following, if true, would not support the chemiosmotic model?</t>
  </si>
  <si>
    <t>Decoupling agents such as DNP block ATP synthesis.</t>
  </si>
  <si>
    <t>The Krebs cycle's main function is to break down large molecules in order to reduce the electron carriers NAD+ and FAD+.</t>
  </si>
  <si>
    <t>ATP synthesis is blocked when the physical continuity of the mitochondrial membrane is interrupted.</t>
  </si>
  <si>
    <t>Synthesis of ATP is increased when the pH of the intermembrane space is lowered relative to the pH of the mitochondrial matrix.</t>
  </si>
  <si>
    <t>Organisms derive energy from various biochemical processes such as glycolysis, cellular respiration, and fermentation. These processes involve interrelated metabolic pathways. The breakdown products of glycolysis, for example, can enter either the fermentation pathway or the cellular respiration pathway depending on the type of cell and the environmental conditions. When the oxygen supply is limited, fermentation predominates, metabolizing glucose to release a small amount of energy while producing waste products such as lactic acid or ethanol. Cellular respiration, however, requires oxygen and is able to release much more energy than fermentation.</t>
  </si>
  <si>
    <t>Adding a strong oxidizing agent to the inner mitochondrial matrix would have what effect on cellular respiration?</t>
  </si>
  <si>
    <t>Oxidation of high potential electron carriers such as FADH2 and NADH will prevent electrons from entering the electron transport chain, thus reducing the number of ATP produced by each glucose molecule.</t>
  </si>
  <si>
    <t>Oxidation will regenerate high potential electron carriers such as NAD+ and FADH, thus allowing glycolysis to continue.</t>
  </si>
  <si>
    <t>Oxidation of FADH2 bypasses ubiquinone, an electron carrier of the electron transport chain, allowing the electrons of FADH2 to enter the electron transport chain a step later at the NADH dehydrogenase and thereby generating fewer ATP per FADH2.</t>
  </si>
  <si>
    <t>Oxidation of available NADH will block the entry of pyruvate into the citric acid cycle by blocking the conversion of pyruvate into acetyl CoA.</t>
  </si>
  <si>
    <t>Nocodazole is a chemical used in laboratories to synchronize the growth of mammalian cells for cell cycle studies. Mammalian cells are incubated in the presence of nocodazole and monitored. When all the cells display condensed chromosomes and nuclear envelope breakdown, the nocodazole is removed and the cells proceed to grow synchronously. Which of the following is a possible mechanism of nocodazole?</t>
  </si>
  <si>
    <t>Inhibition of DNA replication causing cell cycle arrest in the S phase</t>
  </si>
  <si>
    <t>Inhibition of DNA replication causing cell cycle arrest in the M phase</t>
  </si>
  <si>
    <t>Inhibition of spindle assembly causing cell cycle arrest in the S phase</t>
  </si>
  <si>
    <t>Inhibition of spindle assembly causing cell cycle arrest in the M phase</t>
  </si>
  <si>
    <t>Which of the following compounds is expected to be the most acidic?</t>
  </si>
  <si>
    <t>CF3COOH</t>
  </si>
  <si>
    <t>CH3OH2+</t>
  </si>
  <si>
    <t>NH4+</t>
  </si>
  <si>
    <t>Hemophilia is an X-linked recessive disorder in humans. A man with hemophilia marries a woman with normal blood clotting whose father was a hemophiliac. If the couple has three sons, what is the probability that all three sons will be affected with hemophilia?</t>
  </si>
  <si>
    <t>Drugs that block the action of acetylcholinesterase may improve autoimmune MG by:</t>
  </si>
  <si>
    <t>increasing acetylcholine receptor density in the CNS.</t>
  </si>
  <si>
    <t>decreasing acetylcholine receptor antibodies in the PNS.</t>
  </si>
  <si>
    <t>increasing acetylcholine concentration in the PNS.</t>
  </si>
  <si>
    <t>decreasing acetylcholine receptor density in the CNS.</t>
  </si>
  <si>
    <t>Which of the following findings could NOT be used to distinguish autoimmune MG from the congenital form?</t>
  </si>
  <si>
    <t>Based on the information in the passage, which of the following discoveries would NOT support autoimmune MG as the predominant form of the disease?</t>
  </si>
  <si>
    <t>90% of MG patients have autoantibodies against ACh receptors.</t>
  </si>
  <si>
    <t>Acetylcholinesterase activity is normal in most MG patients.</t>
  </si>
  <si>
    <t>Most MG patients have a normal number of ACh receptors.</t>
  </si>
  <si>
    <t>MG is an autosomal dominant disease.</t>
  </si>
  <si>
    <t>If a form of MG were discovered in which ACh receptors were impaired in their ability to bind to neurotransmitter molecules, all of the following treatments would be effective in alleviating symptoms of the disease EXCEPT:</t>
  </si>
  <si>
    <t>blocking the activity of acetylcholinesterase.</t>
  </si>
  <si>
    <t>blocking the repolarization of muscle cells.</t>
  </si>
  <si>
    <t>administering a drug that mimics anti-ACh receptor antibodies.</t>
  </si>
  <si>
    <t>administering a drug that promotes the release of ACh at the axon terminals at the neuromuscular junction.</t>
  </si>
  <si>
    <t>Myasthenia Gravis (MG), a functional disorder of the peripheral nervous system, is generally considered to be a prototype of human hyperactive autoimmune disease. MG is characterized by skeletal muscle weakness, variation in the severity of symptoms, lack of denervation (loss of nerves or nerve degeneration) and reversibility by drugs that inhibit the activity of acetylcholinesterase. Physiological studies have shown that there is also a decrease in the electrical activity of the muscle. Scientists have developed hypotheses for the two different mechanisms by which MG causes such signs and symptoms.</t>
  </si>
  <si>
    <t>Which of the compounds in Table 1 is most likely to be hygroscopic?</t>
  </si>
  <si>
    <t>Camphoric anhydride.</t>
  </si>
  <si>
    <t>Vanillic acid</t>
  </si>
  <si>
    <t>6-Azathymine</t>
  </si>
  <si>
    <t>3, 5-Dinitrobenzoic acid</t>
  </si>
  <si>
    <t>Based on the information given in the passage, compound X most likely contains which of the following functional groups?</t>
  </si>
  <si>
    <t>Amide</t>
  </si>
  <si>
    <t>Ester</t>
  </si>
  <si>
    <t>Ether</t>
  </si>
  <si>
    <t>Ketone</t>
  </si>
  <si>
    <t>How many of the nitrogen atoms in 6-azathymine are sp2 hybridized?</t>
  </si>
  <si>
    <t>According to the solubility data, compound Z is most likely:</t>
  </si>
  <si>
    <t>an amine.</t>
  </si>
  <si>
    <t>an amide.</t>
  </si>
  <si>
    <t>a carboxylic acid.</t>
  </si>
  <si>
    <t>a ketone.</t>
  </si>
  <si>
    <t>Which is the most acidic proton in vanillic acid?</t>
  </si>
  <si>
    <t>A student performed a variety of experiments to identify an unknown compound (compound X). At room temperature, compound X was slightly soluble in water. The student slowly dissolved compound X in aqueous HCl during refluxing, a process resulting in the formation of two new compounds. The first compound (compound Y) was a water-soluble amine salt. It was removed from the reaction mixture.</t>
  </si>
  <si>
    <t>Which organ is involved in the digestion of all of the following: carbohydrates, fats, proteins?</t>
  </si>
  <si>
    <t>Salivary gland</t>
  </si>
  <si>
    <t>Liver</t>
  </si>
  <si>
    <t>Gall bladder</t>
  </si>
  <si>
    <t>Pancreas</t>
  </si>
  <si>
    <t>Sarcomere shortening in muscle fibrils result from:</t>
  </si>
  <si>
    <t>the rapid influx of sodium ions into the cytoplasm after release from the sarcoplasmic reticulum.</t>
  </si>
  <si>
    <t>T-tubule shortening after calcium ion release.</t>
  </si>
  <si>
    <t>conformational modifications of the tropomyosin-troponin complex of muscle fibers.</t>
  </si>
  <si>
    <t>ATP release from the sarcoplasmic reticulum and subsequent myosin attachment to actin filaments.</t>
  </si>
  <si>
    <t>Adrenal corticotropic hormone (ACTH) is released by the:</t>
  </si>
  <si>
    <t>anterior pituitary gland.</t>
  </si>
  <si>
    <t>posterior pituitary gland.</t>
  </si>
  <si>
    <t>adrenal cortex.</t>
  </si>
  <si>
    <t>adrenal medulla.</t>
  </si>
  <si>
    <t>Which of the following is an example of passive immunity?</t>
  </si>
  <si>
    <t>A nurse gets stuck with a needle containing blood from a patient infected with tuberculosis, gets a brief flu-like illness, and a few years later tests positive for anti-tuberculosis antibodies.</t>
  </si>
  <si>
    <t>A baby born to a woman who has antibodies to hepatitis may be temporarily resistant to the disease.</t>
  </si>
  <si>
    <t>A child receives a vaccination for polio consisting of inactivated polio virus.</t>
  </si>
  <si>
    <t>An adult exposed to a certain influenza strain will not become sick again if reinfected with the same strain.</t>
  </si>
  <si>
    <t>Which of the following observations would NOT support Hypothesis 1?</t>
  </si>
  <si>
    <t>The majority of psychiatric patients have a mutation in the DNA sequence coding for GSK-3</t>
  </si>
  <si>
    <t>A drug that inactivates GSK-3 has the same therapeutic affect as lithium.</t>
  </si>
  <si>
    <t>Many psychiatric patients have an abnormal disheveled protein.</t>
  </si>
  <si>
    <t>Individuals with mood disorders have elevated levels of β-catenin and γ-catenin in the brain</t>
  </si>
  <si>
    <t>The disheveled protein is activated in the cell when a particular extracellular molecule binds to a transmembrane receptor. Which of the following effects would be observed most immediately if disheveled became overactive?</t>
  </si>
  <si>
    <t>An increase in levels of β-catenin and γ-catenin.</t>
  </si>
  <si>
    <t>A reduction in levels of inositol (1,4,5)-triphosphate.</t>
  </si>
  <si>
    <t>An increase in GSK-3 activity.</t>
  </si>
  <si>
    <t>A reduction in phosphorylation of β-catenin and γ-catenin.</t>
  </si>
  <si>
    <t>Which of the following observations would most significantly challenge Hypothesis 2?</t>
  </si>
  <si>
    <t>The activity of inositol monophosphatase in psychiatric patients is higher than in healthy individuals.</t>
  </si>
  <si>
    <t>10% of psychiatric patients have normal levels of inositol polyphosphate.</t>
  </si>
  <si>
    <t>When lithium is administered, intracellular inositol concentration is raised.</t>
  </si>
  <si>
    <t>Cells treated with lithium are incapable of responding to extracellular signals that act through inositol phosphate.</t>
  </si>
  <si>
    <t>In which of the following ways is Hypothesis 1 similar to Hypothesis 2?</t>
  </si>
  <si>
    <t>In both hypotheses lithium is thought to reduce the activity of an overactive enzyme.</t>
  </si>
  <si>
    <t>Both hypotheses deal with experimental evidence obtained solely from human subjects.</t>
  </si>
  <si>
    <t>Both hypotheses show that the therapeutic effect of lithium is due to its effect on cellular responsiveness.</t>
  </si>
  <si>
    <t>In both hypotheses, a genetic link between abnormal enzymes and human psychiatric disorders has been identified.</t>
  </si>
  <si>
    <t>Lithium is a naturally occurring alkali metal that has been used as a therapeutic agent for the treatment of depression for over 100 years. However, despite its widespread use, the molecular mechanisms by which lithium exerts its effect on psychiatric disorders remain largely unknown. Investigations in the fields of cell and developmental biology have provided new insights into the action of lithium. Scientists studying lithium have proposed two different hypotheses for the mechanism of lithium's action in alleviating depression.</t>
  </si>
  <si>
    <t>The product of Step 3 is the conjugate acid of an:</t>
  </si>
  <si>
    <t>imine.</t>
  </si>
  <si>
    <t>enamine.</t>
  </si>
  <si>
    <t>imide.</t>
  </si>
  <si>
    <t>amide.</t>
  </si>
  <si>
    <t>If the final product of the reaction (formed in Step 6) is heated, what compound would be obtained?</t>
  </si>
  <si>
    <t>What must be true about the medium in Step 1?</t>
  </si>
  <si>
    <t>It must be acidic to make the acetone more susceptible to nucleophilic attack.</t>
  </si>
  <si>
    <t>It must be neutral or slightly basic to deprotonate the carboxyl group.</t>
  </si>
  <si>
    <t>It must initially be acidic, then neutral.</t>
  </si>
  <si>
    <t>It must initially be neutral or slightly basic, then acidic.</t>
  </si>
  <si>
    <t>Proline can be classified as:</t>
  </si>
  <si>
    <t>a primary amine.</t>
  </si>
  <si>
    <t>a secondary amine.</t>
  </si>
  <si>
    <t>a tertiary amine.</t>
  </si>
  <si>
    <t>an aromatic amine.</t>
  </si>
  <si>
    <t>Which of the following best explains why the stereogenic center created in Step 4 predominantly exists in only one configuration?</t>
  </si>
  <si>
    <t>In order to create the stereogenic center with the opposite configuration, the addition to the alkene would have to take place in the anti-Markovnikov fashion.</t>
  </si>
  <si>
    <t>In order to create the stereogenic center with the opposite configuration, the reaction would have to proceed through a more strained transition state.</t>
  </si>
  <si>
    <t>In order to create the stereogenic center with the opposite configuration, the reaction would need to be carried out with a racemic mixture of L and D-proline.</t>
  </si>
  <si>
    <t>In order to create the stereogenic center with the opposite configuration, the reaction would need to be carried out with the enantiomer of the aldehyde.</t>
  </si>
  <si>
    <t>All of the following occur during the course of the proline-catalyzed reaction EXCEPT:</t>
  </si>
  <si>
    <t>nucleophilic acyl substitution</t>
  </si>
  <si>
    <t>nucleophilic addition</t>
  </si>
  <si>
    <t>addition to an alkene</t>
  </si>
  <si>
    <t>hydrolysis</t>
  </si>
  <si>
    <t>If the reaction were carried out using oxygen-18 (18O) labeled water in Step 5, where would the isotopic label end up?</t>
  </si>
  <si>
    <t>In the hydroxy oxygen of the β-hydroxyketone.</t>
  </si>
  <si>
    <t>In the carbonyl oxygen of the β-hydroxyketone.</t>
  </si>
  <si>
    <t>In the carboxyl oxygens of proline.</t>
  </si>
  <si>
    <t>It would not be incorporated into the products.</t>
  </si>
  <si>
    <t>An enantioselective aldol reaction catalyzed by the amino acid proline is proposed to occur via an enamine mechanism. The reaction, which can be carried out at room temperature, is inexpensive and leads to good yield and high enantioselectivity. The catalyst proline is water-soluble and is easily removed from the product by aqueous extraction. It functions as a "micro-aldolase," providing both the nucleophilic group and an acid/base co-catalyst. The proposed mechanism for the aldol reaction between acetone and an aldehyde with proline as the catalyst is shown below.</t>
  </si>
  <si>
    <t>Antibodies to leptin were generated and injected into the wild type mice. Within hours of the injection, leptin was completely cleared from blood and remained undetectable for three weeks. Which of the following figures best represents daily food intake before the injection and one week after the injection of antibodies?</t>
  </si>
  <si>
    <t>Obesity linked to mutations in the leptin gene is inherited in an autosomal recessive manner. Which of the following represents the percentage of the offspring expected to develop obesity when an Ob1 mouse is mated to a wild type mouse that is homozygous for the dominant allele of the leptin gene?</t>
  </si>
  <si>
    <t>Which of the following processes would NOT occur in response to reduced blood insulin levels?</t>
  </si>
  <si>
    <t>Decreased uptake of glucose by muscle cells</t>
  </si>
  <si>
    <t>Increased conversion of glycogen into muscle glucose</t>
  </si>
  <si>
    <t>Increased utilization of glucose as fuel</t>
  </si>
  <si>
    <t>Increased utilization of fatty acid as fuel</t>
  </si>
  <si>
    <t>The obese phenotype of the Ob2 strain of mice can most reasonably be explained by a defect in a:</t>
  </si>
  <si>
    <t>weight regulatory system that does not involve leptin.</t>
  </si>
  <si>
    <t>leptin gene that results in a production of leptin incapable of exerting its effects.</t>
  </si>
  <si>
    <t>gene that plays a role in activating the expression of leptin.</t>
  </si>
  <si>
    <t>gene coding for the leptin receptor.</t>
  </si>
  <si>
    <t>Leptin acts to prevent hypothalamic secretions of neuropeptide Y, a potent feeding stimulant. As a result, the levels of neuropeptide Y are most probably:</t>
  </si>
  <si>
    <t>reduced in the Ob2 but not in the Ob1 strain of mice.</t>
  </si>
  <si>
    <t>reduced in both the Ob2 and the Ob1 strains of mice.</t>
  </si>
  <si>
    <t>elevated in the Ob2 but not in the Ob1 strain of mice.</t>
  </si>
  <si>
    <t>elevated in both the Ob2 and the Ob1 strains of mice.</t>
  </si>
  <si>
    <t>The assimilation, storage, and use of energy from nutrients constitute a homeostatic system essential for life. In vertebrates, the ability to store sufficient quantities of energy-dense triglycerides in adipose tissue allows survival during periods of food deprivation. However, the presence of extra adipose tissue can be evolutionary maladaptive and a complex physiological system has evolved to regulate fuel stores and energy balance at an optimum level. In an attempt to identify components of the fuel-energy regulatory system, two pure breeding strains of mice were isolated with defects in the weight regulatory system. Both strains of mice, Ob1 and Ob2, had markedly increased adipose tissue mass as a part of a syndrome that resembles morbid obesity in humans.</t>
  </si>
  <si>
    <t>Which of the following compounds has the highest enthalpy of formation per CH2 group?</t>
  </si>
  <si>
    <t>Cyclopropane</t>
  </si>
  <si>
    <t>Cyclobutane</t>
  </si>
  <si>
    <t>Cyclopentane</t>
  </si>
  <si>
    <t>Cyclohexane</t>
  </si>
  <si>
    <t>Which of the following properties accounts for the predominance of (CH3)2C=CHCH3 over H2C=C(CH3)CH2CH3 as the elimination product of CH3CH2C(CH3)2Cl?</t>
  </si>
  <si>
    <t>Steric hindrance of the more substituted alkene</t>
  </si>
  <si>
    <t>Thermodynamic stability of the more substituted alkene</t>
  </si>
  <si>
    <t>Larger dipole moment of the less substituted alkene</t>
  </si>
  <si>
    <t>Kinetic stability of the less substituted alkene</t>
  </si>
  <si>
    <t>Viral replication in which the viral genome becomes fully integrated within the host cell's DNA is referred to as:</t>
  </si>
  <si>
    <t>lytic.</t>
  </si>
  <si>
    <t>lysogenic.</t>
  </si>
  <si>
    <t>integrative.</t>
  </si>
  <si>
    <t>acquired.</t>
  </si>
  <si>
    <t>For a given population in which the dominant allele for a certain trait can be found in 45% of the individuals, random mating between members of the population may:</t>
  </si>
  <si>
    <t>decrease the frequency of this allele.</t>
  </si>
  <si>
    <t>increase the frequency of this allele.</t>
  </si>
  <si>
    <t>allow the frequency of this allele to remain constant over several generations.</t>
  </si>
  <si>
    <t>increase the frequency of this allele for several generations after which it will level out.</t>
  </si>
  <si>
    <t>Which of the following contribute(s) to gas exchange in the alveoli?</t>
  </si>
  <si>
    <t>hds020406.01</t>
  </si>
  <si>
    <t>hds020406.02</t>
  </si>
  <si>
    <t>hds020406.03</t>
  </si>
  <si>
    <t>hds020406.04</t>
  </si>
  <si>
    <t>hds020406.05</t>
  </si>
  <si>
    <t>hds020407.01</t>
  </si>
  <si>
    <t>hds020407.02</t>
  </si>
  <si>
    <t>hds020407.03</t>
  </si>
  <si>
    <t>hds020407.04</t>
  </si>
  <si>
    <t>hds020407.05</t>
  </si>
  <si>
    <t>h006001.01</t>
  </si>
  <si>
    <t>h006001.02</t>
  </si>
  <si>
    <t>h006001.03</t>
  </si>
  <si>
    <t>h006001.04</t>
  </si>
  <si>
    <t>hds020408.01</t>
  </si>
  <si>
    <t>hds020408.02</t>
  </si>
  <si>
    <t>hds020408.03</t>
  </si>
  <si>
    <t>hds020408.04</t>
  </si>
  <si>
    <t>hds020408.05</t>
  </si>
  <si>
    <t>h020409.01</t>
  </si>
  <si>
    <t>h020409.02</t>
  </si>
  <si>
    <t>h020409.03</t>
  </si>
  <si>
    <t>h020409.04</t>
  </si>
  <si>
    <t>h020409.05</t>
  </si>
  <si>
    <t>h020409.06</t>
  </si>
  <si>
    <t>hds003601.01</t>
  </si>
  <si>
    <t>hds003601.02</t>
  </si>
  <si>
    <t>hds003601.03</t>
  </si>
  <si>
    <t>hds003601.04</t>
  </si>
  <si>
    <t>h020410.01</t>
  </si>
  <si>
    <t>h020410.02</t>
  </si>
  <si>
    <t>h020410.03</t>
  </si>
  <si>
    <t>h020410.04</t>
  </si>
  <si>
    <t>h020410.05</t>
  </si>
  <si>
    <t>h020410.06</t>
  </si>
  <si>
    <t>h020413.01</t>
  </si>
  <si>
    <t>h020413.02</t>
  </si>
  <si>
    <t>h020413.03</t>
  </si>
  <si>
    <t>h020413.04</t>
  </si>
  <si>
    <t>h020413.05</t>
  </si>
  <si>
    <t>h020413.06</t>
  </si>
  <si>
    <t>h020414.01</t>
  </si>
  <si>
    <t>h020414.02</t>
  </si>
  <si>
    <t>h020414.03</t>
  </si>
  <si>
    <t>h020414.04</t>
  </si>
  <si>
    <t>h020414.05</t>
  </si>
  <si>
    <t>h020414.06</t>
  </si>
  <si>
    <t>h003629ps.01</t>
  </si>
  <si>
    <t>h003629ps.02</t>
  </si>
  <si>
    <t>h003629ps.03</t>
  </si>
  <si>
    <t>h003629ps.04</t>
  </si>
  <si>
    <t>h003629ps.05</t>
  </si>
  <si>
    <t>h020450.01</t>
  </si>
  <si>
    <t>h020450.02</t>
  </si>
  <si>
    <t>h020450.03</t>
  </si>
  <si>
    <t>h020450.04</t>
  </si>
  <si>
    <t>h020450.05</t>
  </si>
  <si>
    <t>h020450.06</t>
  </si>
  <si>
    <t>h020450.07</t>
  </si>
  <si>
    <t>hds020452.01</t>
  </si>
  <si>
    <t>hds020452.02</t>
  </si>
  <si>
    <t>hds020452.03</t>
  </si>
  <si>
    <t>hds020452.04</t>
  </si>
  <si>
    <t>hds020452.05</t>
  </si>
  <si>
    <t>hds020456.01</t>
  </si>
  <si>
    <t>hds020456.02</t>
  </si>
  <si>
    <t>hds020456.03</t>
  </si>
  <si>
    <t>hds020456.04</t>
  </si>
  <si>
    <t>hds020456.05</t>
  </si>
  <si>
    <t>h020480vr.01</t>
  </si>
  <si>
    <t>h020480vr.02</t>
  </si>
  <si>
    <t>h020480vr.03</t>
  </si>
  <si>
    <t>h020480vr.04</t>
  </si>
  <si>
    <t>h020480vr.05</t>
  </si>
  <si>
    <t>h020480vr.06</t>
  </si>
  <si>
    <t>hds020515.01</t>
  </si>
  <si>
    <t>hds020515.02</t>
  </si>
  <si>
    <t>hds020515.03</t>
  </si>
  <si>
    <t>hds020515.04</t>
  </si>
  <si>
    <t>hds020515.05</t>
  </si>
  <si>
    <t>hds020516.01</t>
  </si>
  <si>
    <t>hds020516.02</t>
  </si>
  <si>
    <t>hds020516.03</t>
  </si>
  <si>
    <t>hds020516.04</t>
  </si>
  <si>
    <t>hds020516.05</t>
  </si>
  <si>
    <t>hds020516.06</t>
  </si>
  <si>
    <t>hds020516.07</t>
  </si>
  <si>
    <t>h020547.01</t>
  </si>
  <si>
    <t>h020547.02</t>
  </si>
  <si>
    <t>h020547.03</t>
  </si>
  <si>
    <t>h020547.04</t>
  </si>
  <si>
    <t>h020547.05</t>
  </si>
  <si>
    <t>h020426.01</t>
  </si>
  <si>
    <t>h020426.02</t>
  </si>
  <si>
    <t>h020426.03</t>
  </si>
  <si>
    <t>h020426.04</t>
  </si>
  <si>
    <t>h020426.05</t>
  </si>
  <si>
    <t>h020426.06</t>
  </si>
  <si>
    <t>h020428.01</t>
  </si>
  <si>
    <t>h020428.02</t>
  </si>
  <si>
    <t>h020428.03</t>
  </si>
  <si>
    <t>h020428.04</t>
  </si>
  <si>
    <t>h020428.05</t>
  </si>
  <si>
    <t>h006007.01</t>
  </si>
  <si>
    <t>h006007.02</t>
  </si>
  <si>
    <t>h006007.03</t>
  </si>
  <si>
    <t>h006007.04</t>
  </si>
  <si>
    <t>hds020429.01</t>
  </si>
  <si>
    <t>hds020429.02</t>
  </si>
  <si>
    <t>hds020429.03</t>
  </si>
  <si>
    <t>hds020429.04</t>
  </si>
  <si>
    <t>hds020430.01</t>
  </si>
  <si>
    <t>hds020430.02</t>
  </si>
  <si>
    <t>hds020430.03</t>
  </si>
  <si>
    <t>hds020430.04</t>
  </si>
  <si>
    <t>hds020430.05</t>
  </si>
  <si>
    <t>hds003737.01</t>
  </si>
  <si>
    <t>hds003737.02</t>
  </si>
  <si>
    <t>hds003737.03</t>
  </si>
  <si>
    <t>hds003737.04</t>
  </si>
  <si>
    <t>hds020431.01</t>
  </si>
  <si>
    <t>hds020431.02</t>
  </si>
  <si>
    <t>hds020431.03</t>
  </si>
  <si>
    <t>hds020431.04</t>
  </si>
  <si>
    <t>h020435.01</t>
  </si>
  <si>
    <t>h020435.02</t>
  </si>
  <si>
    <t>h020435.03</t>
  </si>
  <si>
    <t>h020435.04</t>
  </si>
  <si>
    <t>h020435.05</t>
  </si>
  <si>
    <t>h020435.06</t>
  </si>
  <si>
    <t>h020435.07</t>
  </si>
  <si>
    <t>h020436.01</t>
  </si>
  <si>
    <t>h020436.02</t>
  </si>
  <si>
    <t>h020436.03</t>
  </si>
  <si>
    <t>h020436.04</t>
  </si>
  <si>
    <t>h020436.05</t>
  </si>
  <si>
    <t>h003785bs.01</t>
  </si>
  <si>
    <t>h003785bs.02</t>
  </si>
  <si>
    <t>h003785bs.03</t>
  </si>
  <si>
    <t>h003785bs.04</t>
  </si>
  <si>
    <t>h003785bs.05</t>
  </si>
  <si>
    <t>hds020429.05</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</si>
  <si>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</si>
  <si>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</si>
  <si>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</si>
  <si>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</si>
  <si>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MCAT Full-Length 6 - MCAT Full-Length 6</t>
  </si>
  <si>
    <t>MCAT Full-Length 6 - Break</t>
  </si>
  <si>
    <t>MCAT Full-Length 6 - Physical Sciences</t>
  </si>
  <si>
    <t>MCAT Full-Length 6 - Verbal Reasoning</t>
  </si>
  <si>
    <t>MCAT Full-Length 6 - Biological Sciences</t>
  </si>
  <si>
    <t>8th</t>
  </si>
  <si>
    <t>14th</t>
  </si>
  <si>
    <t>2nd</t>
  </si>
  <si>
    <t>4th</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</si>
</sst>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
      <sz val="8"/>
      <name val="Arial"/>
      <family val="2"/>
    </font>
    <font>
      <sz val="8"/>
      <color rgb="FFFF0000"/>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20">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3" fillId="6" borderId="0" xfId="0" applyFont="1" applyFill="1"/>
    <xf numFmtId="0" fontId="4" fillId="0" borderId="0" xfId="0" applyFont="1"/>
    <xf numFmtId="0" fontId="5" fillId="0" borderId="0" xfId="0" applyFont="1"/>
    <xf numFmtId="1" fontId="5" fillId="0" borderId="0" xfId="0" applyNumberFormat="1" applyFont="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45"/>
  <sheetViews>
    <sheetView workbookViewId="0">
      <selection activeCell="A2" sqref="A2"/>
    </sheetView>
  </sheetViews>
  <sheetFormatPr defaultRowHeight="11.25" x14ac:dyDescent="0.2"/>
  <cols>
    <col min="1" max="1" width="9.140625" style="2" customWidth="1" collapsed="1"/>
    <col min="2" max="2" width="31.28515625" style="2" customWidth="1" collapsed="1"/>
    <col min="3" max="3" width="9.7109375" style="2" customWidth="1" collapsed="1"/>
    <col min="4" max="4" width="14.140625" style="2"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28.28515625" style="2" bestFit="1" customWidth="1" collapsed="1"/>
    <col min="13" max="21" width="9.140625" style="2"/>
    <col min="22" max="22" width="9.140625" style="2" collapsed="1"/>
    <col min="23" max="24" width="9.140625" style="2"/>
    <col min="25" max="16384" width="9.140625" style="2" collapsed="1"/>
  </cols>
  <sheetData>
    <row r="1" spans="1:12" s="5" customFormat="1" x14ac:dyDescent="0.2">
      <c r="A1" s="5" t="s">
        <v>2</v>
      </c>
      <c r="B1" s="5" t="s">
        <v>67</v>
      </c>
      <c r="C1" s="5" t="s">
        <v>16</v>
      </c>
      <c r="D1" s="5" t="s">
        <v>69</v>
      </c>
      <c r="E1" s="5" t="s">
        <v>17</v>
      </c>
      <c r="F1" s="6" t="s">
        <v>15</v>
      </c>
      <c r="G1" s="5" t="s">
        <v>68</v>
      </c>
      <c r="H1" s="5" t="s">
        <v>14</v>
      </c>
      <c r="I1" s="5" t="s">
        <v>90</v>
      </c>
      <c r="J1" s="7" t="s">
        <v>13</v>
      </c>
      <c r="K1" s="7" t="s">
        <v>63</v>
      </c>
      <c r="L1" s="7" t="s">
        <v>28</v>
      </c>
    </row>
    <row r="2" spans="1:12" x14ac:dyDescent="0.2">
      <c r="A2" s="2" t="s">
        <v>3</v>
      </c>
      <c r="B2" s="2" t="s">
        <v>950</v>
      </c>
      <c r="C2" s="2" t="s">
        <v>7</v>
      </c>
      <c r="D2" s="2" t="s">
        <v>802</v>
      </c>
      <c r="E2" s="2">
        <v>1</v>
      </c>
      <c r="F2" s="3">
        <v>1</v>
      </c>
      <c r="G2" s="2">
        <v>1</v>
      </c>
      <c r="H2" s="8">
        <v>1</v>
      </c>
      <c r="J2" s="4">
        <v>1</v>
      </c>
      <c r="K2" s="2" t="str">
        <f t="shared" ref="K2:K78" si="0">IF(H2=J2,"resp-correct","resp-inc")</f>
        <v>resp-correct</v>
      </c>
      <c r="L2" s="4" t="s">
        <v>140</v>
      </c>
    </row>
    <row r="3" spans="1:12" x14ac:dyDescent="0.2">
      <c r="A3" s="2" t="s">
        <v>3</v>
      </c>
      <c r="B3" s="2" t="s">
        <v>950</v>
      </c>
      <c r="C3" s="2" t="s">
        <v>7</v>
      </c>
      <c r="D3" s="2" t="s">
        <v>803</v>
      </c>
      <c r="E3" s="2">
        <v>1</v>
      </c>
      <c r="F3" s="3">
        <v>2</v>
      </c>
      <c r="G3" s="2">
        <v>2</v>
      </c>
      <c r="H3" s="8">
        <v>2</v>
      </c>
      <c r="J3" s="4">
        <v>4</v>
      </c>
      <c r="K3" s="2" t="str">
        <f t="shared" si="0"/>
        <v>resp-inc</v>
      </c>
      <c r="L3" s="4" t="s">
        <v>140</v>
      </c>
    </row>
    <row r="4" spans="1:12" x14ac:dyDescent="0.2">
      <c r="A4" s="2" t="s">
        <v>3</v>
      </c>
      <c r="B4" s="2" t="s">
        <v>950</v>
      </c>
      <c r="C4" s="2" t="s">
        <v>7</v>
      </c>
      <c r="D4" s="2" t="s">
        <v>804</v>
      </c>
      <c r="E4" s="2">
        <v>1</v>
      </c>
      <c r="F4" s="3">
        <v>3</v>
      </c>
      <c r="G4" s="2">
        <v>3</v>
      </c>
      <c r="H4" s="8">
        <v>1</v>
      </c>
      <c r="J4" s="4">
        <v>2</v>
      </c>
      <c r="K4" s="2" t="str">
        <f t="shared" si="0"/>
        <v>resp-inc</v>
      </c>
      <c r="L4" s="4" t="s">
        <v>125</v>
      </c>
    </row>
    <row r="5" spans="1:12" x14ac:dyDescent="0.2">
      <c r="A5" s="2" t="s">
        <v>3</v>
      </c>
      <c r="B5" s="2" t="s">
        <v>950</v>
      </c>
      <c r="C5" s="2" t="s">
        <v>7</v>
      </c>
      <c r="D5" s="2" t="s">
        <v>805</v>
      </c>
      <c r="E5" s="2">
        <v>1</v>
      </c>
      <c r="F5" s="3">
        <v>4</v>
      </c>
      <c r="G5" s="2">
        <v>4</v>
      </c>
      <c r="H5" s="8">
        <v>1</v>
      </c>
      <c r="J5" s="4">
        <v>3</v>
      </c>
      <c r="K5" s="2" t="str">
        <f t="shared" si="0"/>
        <v>resp-inc</v>
      </c>
      <c r="L5" s="4" t="s">
        <v>32</v>
      </c>
    </row>
    <row r="6" spans="1:12" x14ac:dyDescent="0.2">
      <c r="A6" s="2" t="s">
        <v>3</v>
      </c>
      <c r="B6" s="2" t="s">
        <v>950</v>
      </c>
      <c r="C6" s="2" t="s">
        <v>7</v>
      </c>
      <c r="D6" s="2" t="s">
        <v>806</v>
      </c>
      <c r="E6" s="2">
        <v>1</v>
      </c>
      <c r="F6" s="3">
        <v>5</v>
      </c>
      <c r="G6" s="2">
        <v>5</v>
      </c>
      <c r="H6" s="8">
        <v>2</v>
      </c>
      <c r="J6" s="4">
        <v>4</v>
      </c>
      <c r="K6" s="2" t="str">
        <f t="shared" si="0"/>
        <v>resp-inc</v>
      </c>
      <c r="L6" s="4" t="s">
        <v>140</v>
      </c>
    </row>
    <row r="7" spans="1:12" x14ac:dyDescent="0.2">
      <c r="A7" s="2" t="s">
        <v>3</v>
      </c>
      <c r="B7" s="2" t="s">
        <v>950</v>
      </c>
      <c r="C7" s="2" t="s">
        <v>8</v>
      </c>
      <c r="D7" s="2" t="s">
        <v>807</v>
      </c>
      <c r="E7" s="2">
        <v>2</v>
      </c>
      <c r="F7" s="3">
        <v>1</v>
      </c>
      <c r="G7" s="2">
        <v>6</v>
      </c>
      <c r="H7" s="8">
        <v>2</v>
      </c>
      <c r="J7" s="4">
        <v>1</v>
      </c>
      <c r="K7" s="2" t="str">
        <f t="shared" si="0"/>
        <v>resp-inc</v>
      </c>
      <c r="L7" s="4" t="s">
        <v>124</v>
      </c>
    </row>
    <row r="8" spans="1:12" x14ac:dyDescent="0.2">
      <c r="A8" s="2" t="s">
        <v>3</v>
      </c>
      <c r="B8" s="2" t="s">
        <v>950</v>
      </c>
      <c r="C8" s="2" t="s">
        <v>8</v>
      </c>
      <c r="D8" s="2" t="s">
        <v>808</v>
      </c>
      <c r="E8" s="2">
        <v>2</v>
      </c>
      <c r="F8" s="3">
        <v>2</v>
      </c>
      <c r="G8" s="2">
        <v>7</v>
      </c>
      <c r="H8" s="8">
        <v>2</v>
      </c>
      <c r="J8" s="4">
        <v>3</v>
      </c>
      <c r="K8" s="2" t="str">
        <f t="shared" si="0"/>
        <v>resp-inc</v>
      </c>
      <c r="L8" s="4" t="s">
        <v>124</v>
      </c>
    </row>
    <row r="9" spans="1:12" x14ac:dyDescent="0.2">
      <c r="A9" s="2" t="s">
        <v>3</v>
      </c>
      <c r="B9" s="2" t="s">
        <v>950</v>
      </c>
      <c r="C9" s="2" t="s">
        <v>8</v>
      </c>
      <c r="D9" s="2" t="s">
        <v>809</v>
      </c>
      <c r="E9" s="2">
        <v>2</v>
      </c>
      <c r="F9" s="3">
        <v>3</v>
      </c>
      <c r="G9" s="2">
        <v>8</v>
      </c>
      <c r="H9" s="8">
        <v>2</v>
      </c>
      <c r="J9" s="4">
        <v>3</v>
      </c>
      <c r="K9" s="2" t="str">
        <f t="shared" si="0"/>
        <v>resp-inc</v>
      </c>
      <c r="L9" s="2" t="s">
        <v>124</v>
      </c>
    </row>
    <row r="10" spans="1:12" x14ac:dyDescent="0.2">
      <c r="A10" s="2" t="s">
        <v>3</v>
      </c>
      <c r="B10" s="2" t="s">
        <v>950</v>
      </c>
      <c r="C10" s="2" t="s">
        <v>8</v>
      </c>
      <c r="D10" s="2" t="s">
        <v>810</v>
      </c>
      <c r="E10" s="2">
        <v>2</v>
      </c>
      <c r="F10" s="3">
        <v>4</v>
      </c>
      <c r="G10" s="2">
        <v>9</v>
      </c>
      <c r="H10" s="8">
        <v>2</v>
      </c>
      <c r="J10" s="4">
        <v>2</v>
      </c>
      <c r="K10" s="2" t="str">
        <f t="shared" si="0"/>
        <v>resp-correct</v>
      </c>
      <c r="L10" s="2" t="s">
        <v>30</v>
      </c>
    </row>
    <row r="11" spans="1:12" x14ac:dyDescent="0.2">
      <c r="A11" s="2" t="s">
        <v>3</v>
      </c>
      <c r="B11" s="2" t="s">
        <v>950</v>
      </c>
      <c r="C11" s="2" t="s">
        <v>8</v>
      </c>
      <c r="D11" s="2" t="s">
        <v>811</v>
      </c>
      <c r="E11" s="2">
        <v>2</v>
      </c>
      <c r="F11" s="3">
        <v>5</v>
      </c>
      <c r="G11" s="2">
        <v>10</v>
      </c>
      <c r="H11" s="8">
        <v>2</v>
      </c>
      <c r="J11" s="4">
        <v>4</v>
      </c>
      <c r="K11" s="2" t="str">
        <f t="shared" si="0"/>
        <v>resp-inc</v>
      </c>
      <c r="L11" s="2" t="s">
        <v>30</v>
      </c>
    </row>
    <row r="12" spans="1:12" x14ac:dyDescent="0.2">
      <c r="A12" s="2" t="s">
        <v>3</v>
      </c>
      <c r="B12" s="2" t="s">
        <v>950</v>
      </c>
      <c r="C12" s="2" t="s">
        <v>6</v>
      </c>
      <c r="D12" s="2" t="s">
        <v>812</v>
      </c>
      <c r="E12" s="2">
        <v>3</v>
      </c>
      <c r="F12" s="3">
        <v>1</v>
      </c>
      <c r="G12" s="2">
        <v>11</v>
      </c>
      <c r="H12" s="8">
        <v>3</v>
      </c>
      <c r="J12" s="4">
        <v>1</v>
      </c>
      <c r="K12" s="2" t="str">
        <f t="shared" si="0"/>
        <v>resp-inc</v>
      </c>
      <c r="L12" s="4" t="s">
        <v>32</v>
      </c>
    </row>
    <row r="13" spans="1:12" x14ac:dyDescent="0.2">
      <c r="A13" s="2" t="s">
        <v>3</v>
      </c>
      <c r="B13" s="2" t="s">
        <v>950</v>
      </c>
      <c r="C13" s="2" t="s">
        <v>6</v>
      </c>
      <c r="D13" s="2" t="s">
        <v>813</v>
      </c>
      <c r="E13" s="2">
        <v>3</v>
      </c>
      <c r="F13" s="3">
        <v>2</v>
      </c>
      <c r="G13" s="2">
        <v>12</v>
      </c>
      <c r="H13" s="8">
        <v>3</v>
      </c>
      <c r="J13" s="4">
        <v>3</v>
      </c>
      <c r="K13" s="2" t="str">
        <f t="shared" si="0"/>
        <v>resp-correct</v>
      </c>
      <c r="L13" s="4" t="s">
        <v>31</v>
      </c>
    </row>
    <row r="14" spans="1:12" x14ac:dyDescent="0.2">
      <c r="A14" s="2" t="s">
        <v>3</v>
      </c>
      <c r="B14" s="2" t="s">
        <v>950</v>
      </c>
      <c r="C14" s="2" t="s">
        <v>6</v>
      </c>
      <c r="D14" s="2" t="s">
        <v>814</v>
      </c>
      <c r="E14" s="2">
        <v>3</v>
      </c>
      <c r="F14" s="3">
        <v>3</v>
      </c>
      <c r="G14" s="2">
        <v>13</v>
      </c>
      <c r="H14" s="8">
        <v>3</v>
      </c>
      <c r="J14" s="4">
        <v>2</v>
      </c>
      <c r="K14" s="2" t="str">
        <f t="shared" si="0"/>
        <v>resp-inc</v>
      </c>
      <c r="L14" s="2" t="s">
        <v>36</v>
      </c>
    </row>
    <row r="15" spans="1:12" x14ac:dyDescent="0.2">
      <c r="A15" s="2" t="s">
        <v>3</v>
      </c>
      <c r="B15" s="2" t="s">
        <v>950</v>
      </c>
      <c r="C15" s="2" t="s">
        <v>6</v>
      </c>
      <c r="D15" s="2" t="s">
        <v>815</v>
      </c>
      <c r="E15" s="2">
        <v>3</v>
      </c>
      <c r="F15" s="3">
        <v>4</v>
      </c>
      <c r="G15" s="2">
        <v>14</v>
      </c>
      <c r="H15" s="8">
        <v>3</v>
      </c>
      <c r="J15" s="4">
        <v>2</v>
      </c>
      <c r="K15" s="2" t="str">
        <f t="shared" si="0"/>
        <v>resp-inc</v>
      </c>
      <c r="L15" s="2" t="s">
        <v>66</v>
      </c>
    </row>
    <row r="16" spans="1:12" x14ac:dyDescent="0.2">
      <c r="A16" s="2" t="s">
        <v>3</v>
      </c>
      <c r="B16" s="2" t="s">
        <v>950</v>
      </c>
      <c r="C16" s="2" t="s">
        <v>9</v>
      </c>
      <c r="D16" s="2" t="s">
        <v>816</v>
      </c>
      <c r="E16" s="2">
        <v>4</v>
      </c>
      <c r="F16" s="3">
        <v>1</v>
      </c>
      <c r="G16" s="2">
        <v>15</v>
      </c>
      <c r="H16" s="8">
        <v>3</v>
      </c>
      <c r="J16" s="4">
        <v>2</v>
      </c>
      <c r="K16" s="2" t="str">
        <f t="shared" si="0"/>
        <v>resp-inc</v>
      </c>
      <c r="L16" s="4" t="s">
        <v>140</v>
      </c>
    </row>
    <row r="17" spans="1:12" x14ac:dyDescent="0.2">
      <c r="A17" s="2" t="s">
        <v>3</v>
      </c>
      <c r="B17" s="2" t="s">
        <v>950</v>
      </c>
      <c r="C17" s="2" t="s">
        <v>9</v>
      </c>
      <c r="D17" s="2" t="s">
        <v>817</v>
      </c>
      <c r="E17" s="2">
        <v>4</v>
      </c>
      <c r="F17" s="3">
        <v>2</v>
      </c>
      <c r="G17" s="2">
        <v>16</v>
      </c>
      <c r="H17" s="8">
        <v>3</v>
      </c>
      <c r="J17" s="4">
        <v>4</v>
      </c>
      <c r="K17" s="2" t="str">
        <f t="shared" si="0"/>
        <v>resp-inc</v>
      </c>
      <c r="L17" s="2" t="s">
        <v>140</v>
      </c>
    </row>
    <row r="18" spans="1:12" x14ac:dyDescent="0.2">
      <c r="A18" s="2" t="s">
        <v>3</v>
      </c>
      <c r="B18" s="2" t="s">
        <v>950</v>
      </c>
      <c r="C18" s="2" t="s">
        <v>9</v>
      </c>
      <c r="D18" s="2" t="s">
        <v>818</v>
      </c>
      <c r="E18" s="2">
        <v>4</v>
      </c>
      <c r="F18" s="3">
        <v>3</v>
      </c>
      <c r="G18" s="2">
        <v>17</v>
      </c>
      <c r="H18" s="8">
        <v>4</v>
      </c>
      <c r="J18" s="4">
        <v>3</v>
      </c>
      <c r="K18" s="2" t="str">
        <f t="shared" si="0"/>
        <v>resp-inc</v>
      </c>
      <c r="L18" s="2" t="s">
        <v>140</v>
      </c>
    </row>
    <row r="19" spans="1:12" x14ac:dyDescent="0.2">
      <c r="A19" s="2" t="s">
        <v>3</v>
      </c>
      <c r="B19" s="2" t="s">
        <v>950</v>
      </c>
      <c r="C19" s="2" t="s">
        <v>9</v>
      </c>
      <c r="D19" s="2" t="s">
        <v>819</v>
      </c>
      <c r="E19" s="2">
        <v>4</v>
      </c>
      <c r="F19" s="3">
        <v>4</v>
      </c>
      <c r="G19" s="2">
        <v>18</v>
      </c>
      <c r="H19" s="8">
        <v>4</v>
      </c>
      <c r="J19" s="4">
        <v>3</v>
      </c>
      <c r="K19" s="2" t="str">
        <f t="shared" si="0"/>
        <v>resp-inc</v>
      </c>
      <c r="L19" s="2" t="s">
        <v>125</v>
      </c>
    </row>
    <row r="20" spans="1:12" x14ac:dyDescent="0.2">
      <c r="A20" s="2" t="s">
        <v>3</v>
      </c>
      <c r="B20" s="2" t="s">
        <v>950</v>
      </c>
      <c r="C20" s="2" t="s">
        <v>9</v>
      </c>
      <c r="D20" s="2" t="s">
        <v>820</v>
      </c>
      <c r="E20" s="2">
        <v>4</v>
      </c>
      <c r="F20" s="3">
        <v>5</v>
      </c>
      <c r="G20" s="2">
        <v>19</v>
      </c>
      <c r="H20" s="8">
        <v>4</v>
      </c>
      <c r="J20" s="4">
        <v>3</v>
      </c>
      <c r="K20" s="2" t="str">
        <f t="shared" si="0"/>
        <v>resp-inc</v>
      </c>
      <c r="L20" s="2" t="s">
        <v>31</v>
      </c>
    </row>
    <row r="21" spans="1:12" x14ac:dyDescent="0.2">
      <c r="A21" s="2" t="s">
        <v>3</v>
      </c>
      <c r="B21" s="2" t="s">
        <v>950</v>
      </c>
      <c r="C21" s="2" t="s">
        <v>10</v>
      </c>
      <c r="D21" s="2" t="s">
        <v>821</v>
      </c>
      <c r="E21" s="2">
        <v>5</v>
      </c>
      <c r="F21" s="3">
        <v>1</v>
      </c>
      <c r="G21" s="2">
        <v>20</v>
      </c>
      <c r="H21" s="8">
        <v>4</v>
      </c>
      <c r="J21" s="4">
        <v>4</v>
      </c>
      <c r="K21" s="2" t="str">
        <f t="shared" si="0"/>
        <v>resp-correct</v>
      </c>
      <c r="L21" s="2" t="s">
        <v>39</v>
      </c>
    </row>
    <row r="22" spans="1:12" x14ac:dyDescent="0.2">
      <c r="A22" s="2" t="s">
        <v>3</v>
      </c>
      <c r="B22" s="2" t="s">
        <v>950</v>
      </c>
      <c r="C22" s="2" t="s">
        <v>10</v>
      </c>
      <c r="D22" s="2" t="s">
        <v>822</v>
      </c>
      <c r="E22" s="2">
        <v>5</v>
      </c>
      <c r="F22" s="3">
        <v>2</v>
      </c>
      <c r="G22" s="2">
        <v>21</v>
      </c>
      <c r="H22" s="8">
        <v>4</v>
      </c>
      <c r="J22" s="4">
        <v>3</v>
      </c>
      <c r="K22" s="2" t="str">
        <f t="shared" si="0"/>
        <v>resp-inc</v>
      </c>
      <c r="L22" s="2" t="s">
        <v>37</v>
      </c>
    </row>
    <row r="23" spans="1:12" x14ac:dyDescent="0.2">
      <c r="A23" s="2" t="s">
        <v>3</v>
      </c>
      <c r="B23" s="2" t="s">
        <v>950</v>
      </c>
      <c r="C23" s="2" t="s">
        <v>10</v>
      </c>
      <c r="D23" s="2" t="s">
        <v>823</v>
      </c>
      <c r="E23" s="2">
        <v>5</v>
      </c>
      <c r="F23" s="3">
        <v>3</v>
      </c>
      <c r="G23" s="2">
        <v>22</v>
      </c>
      <c r="H23" s="8">
        <v>1</v>
      </c>
      <c r="J23" s="4">
        <v>3</v>
      </c>
      <c r="K23" s="2" t="str">
        <f t="shared" si="0"/>
        <v>resp-inc</v>
      </c>
      <c r="L23" s="2" t="s">
        <v>33</v>
      </c>
    </row>
    <row r="24" spans="1:12" x14ac:dyDescent="0.2">
      <c r="A24" s="2" t="s">
        <v>3</v>
      </c>
      <c r="B24" s="2" t="s">
        <v>950</v>
      </c>
      <c r="C24" s="2" t="s">
        <v>10</v>
      </c>
      <c r="D24" s="2" t="s">
        <v>824</v>
      </c>
      <c r="E24" s="2">
        <v>5</v>
      </c>
      <c r="F24" s="3">
        <v>4</v>
      </c>
      <c r="G24" s="2">
        <v>23</v>
      </c>
      <c r="H24" s="8">
        <v>1</v>
      </c>
      <c r="J24" s="4">
        <v>4</v>
      </c>
      <c r="K24" s="2" t="str">
        <f t="shared" si="0"/>
        <v>resp-inc</v>
      </c>
      <c r="L24" s="2" t="s">
        <v>29</v>
      </c>
    </row>
    <row r="25" spans="1:12" x14ac:dyDescent="0.2">
      <c r="A25" s="2" t="s">
        <v>3</v>
      </c>
      <c r="B25" s="2" t="s">
        <v>950</v>
      </c>
      <c r="C25" s="2" t="s">
        <v>10</v>
      </c>
      <c r="D25" s="2" t="s">
        <v>825</v>
      </c>
      <c r="E25" s="2">
        <v>5</v>
      </c>
      <c r="F25" s="3">
        <v>5</v>
      </c>
      <c r="G25" s="2">
        <v>24</v>
      </c>
      <c r="H25" s="8">
        <v>1</v>
      </c>
      <c r="J25" s="4">
        <v>1</v>
      </c>
      <c r="K25" s="2" t="str">
        <f t="shared" si="0"/>
        <v>resp-correct</v>
      </c>
      <c r="L25" s="2" t="s">
        <v>33</v>
      </c>
    </row>
    <row r="26" spans="1:12" x14ac:dyDescent="0.2">
      <c r="A26" s="2" t="s">
        <v>3</v>
      </c>
      <c r="B26" s="2" t="s">
        <v>950</v>
      </c>
      <c r="C26" s="2" t="s">
        <v>10</v>
      </c>
      <c r="D26" s="2" t="s">
        <v>826</v>
      </c>
      <c r="E26" s="2">
        <v>5</v>
      </c>
      <c r="F26" s="3">
        <v>6</v>
      </c>
      <c r="G26" s="2">
        <v>25</v>
      </c>
      <c r="H26" s="8">
        <v>1</v>
      </c>
      <c r="J26" s="4">
        <v>4</v>
      </c>
      <c r="K26" s="2" t="str">
        <f t="shared" si="0"/>
        <v>resp-inc</v>
      </c>
      <c r="L26" s="2" t="s">
        <v>37</v>
      </c>
    </row>
    <row r="27" spans="1:12" x14ac:dyDescent="0.2">
      <c r="A27" s="2" t="s">
        <v>3</v>
      </c>
      <c r="B27" s="2" t="s">
        <v>950</v>
      </c>
      <c r="C27" s="2" t="s">
        <v>6</v>
      </c>
      <c r="D27" s="2" t="s">
        <v>827</v>
      </c>
      <c r="E27" s="2">
        <v>6</v>
      </c>
      <c r="F27" s="3">
        <v>1</v>
      </c>
      <c r="G27" s="2">
        <v>26</v>
      </c>
      <c r="H27" s="8">
        <v>2</v>
      </c>
      <c r="J27" s="4">
        <v>3</v>
      </c>
      <c r="K27" s="2" t="str">
        <f t="shared" si="0"/>
        <v>resp-inc</v>
      </c>
      <c r="L27" s="2" t="s">
        <v>29</v>
      </c>
    </row>
    <row r="28" spans="1:12" x14ac:dyDescent="0.2">
      <c r="A28" s="2" t="s">
        <v>3</v>
      </c>
      <c r="B28" s="2" t="s">
        <v>950</v>
      </c>
      <c r="C28" s="2" t="s">
        <v>6</v>
      </c>
      <c r="D28" s="2" t="s">
        <v>828</v>
      </c>
      <c r="E28" s="2">
        <v>6</v>
      </c>
      <c r="F28" s="3">
        <v>2</v>
      </c>
      <c r="G28" s="2">
        <v>27</v>
      </c>
      <c r="H28" s="8">
        <v>2</v>
      </c>
      <c r="J28" s="4">
        <v>1</v>
      </c>
      <c r="K28" s="2" t="str">
        <f t="shared" si="0"/>
        <v>resp-inc</v>
      </c>
      <c r="L28" s="2" t="s">
        <v>32</v>
      </c>
    </row>
    <row r="29" spans="1:12" x14ac:dyDescent="0.2">
      <c r="A29" s="2" t="s">
        <v>3</v>
      </c>
      <c r="B29" s="2" t="s">
        <v>950</v>
      </c>
      <c r="C29" s="2" t="s">
        <v>6</v>
      </c>
      <c r="D29" s="2" t="s">
        <v>829</v>
      </c>
      <c r="E29" s="2">
        <v>6</v>
      </c>
      <c r="F29" s="3">
        <v>3</v>
      </c>
      <c r="G29" s="2">
        <v>28</v>
      </c>
      <c r="H29" s="8">
        <v>2</v>
      </c>
      <c r="J29" s="4">
        <v>4</v>
      </c>
      <c r="K29" s="2" t="str">
        <f t="shared" si="0"/>
        <v>resp-inc</v>
      </c>
      <c r="L29" s="2" t="s">
        <v>124</v>
      </c>
    </row>
    <row r="30" spans="1:12" x14ac:dyDescent="0.2">
      <c r="A30" s="2" t="s">
        <v>3</v>
      </c>
      <c r="B30" s="2" t="s">
        <v>950</v>
      </c>
      <c r="C30" s="2" t="s">
        <v>6</v>
      </c>
      <c r="D30" s="2" t="s">
        <v>830</v>
      </c>
      <c r="E30" s="2">
        <v>6</v>
      </c>
      <c r="F30" s="3">
        <v>4</v>
      </c>
      <c r="G30" s="2">
        <v>29</v>
      </c>
      <c r="H30" s="8">
        <v>2</v>
      </c>
      <c r="J30" s="4">
        <v>1</v>
      </c>
      <c r="K30" s="2" t="str">
        <f t="shared" si="0"/>
        <v>resp-inc</v>
      </c>
      <c r="L30" s="2" t="s">
        <v>41</v>
      </c>
    </row>
    <row r="31" spans="1:12" x14ac:dyDescent="0.2">
      <c r="A31" s="2" t="s">
        <v>3</v>
      </c>
      <c r="B31" s="2" t="s">
        <v>950</v>
      </c>
      <c r="C31" s="2" t="s">
        <v>11</v>
      </c>
      <c r="D31" s="2" t="s">
        <v>831</v>
      </c>
      <c r="E31" s="2">
        <v>7</v>
      </c>
      <c r="F31" s="3">
        <v>1</v>
      </c>
      <c r="G31" s="2">
        <v>30</v>
      </c>
      <c r="H31" s="8">
        <v>2</v>
      </c>
      <c r="J31" s="4">
        <v>1</v>
      </c>
      <c r="K31" s="2" t="str">
        <f t="shared" si="0"/>
        <v>resp-inc</v>
      </c>
      <c r="L31" s="2" t="s">
        <v>30</v>
      </c>
    </row>
    <row r="32" spans="1:12" x14ac:dyDescent="0.2">
      <c r="A32" s="2" t="s">
        <v>3</v>
      </c>
      <c r="B32" s="2" t="s">
        <v>950</v>
      </c>
      <c r="C32" s="2" t="s">
        <v>11</v>
      </c>
      <c r="D32" s="2" t="s">
        <v>832</v>
      </c>
      <c r="E32" s="2">
        <v>7</v>
      </c>
      <c r="F32" s="3">
        <v>2</v>
      </c>
      <c r="G32" s="2">
        <v>31</v>
      </c>
      <c r="H32" s="8">
        <v>1</v>
      </c>
      <c r="J32" s="4">
        <v>2</v>
      </c>
      <c r="K32" s="2" t="str">
        <f t="shared" si="0"/>
        <v>resp-inc</v>
      </c>
      <c r="L32" s="2" t="s">
        <v>34</v>
      </c>
    </row>
    <row r="33" spans="1:12" x14ac:dyDescent="0.2">
      <c r="A33" s="2" t="s">
        <v>3</v>
      </c>
      <c r="B33" s="2" t="s">
        <v>950</v>
      </c>
      <c r="C33" s="2" t="s">
        <v>11</v>
      </c>
      <c r="D33" s="2" t="s">
        <v>833</v>
      </c>
      <c r="E33" s="2">
        <v>7</v>
      </c>
      <c r="F33" s="3">
        <v>3</v>
      </c>
      <c r="G33" s="2">
        <v>32</v>
      </c>
      <c r="H33" s="8">
        <v>2</v>
      </c>
      <c r="J33" s="4">
        <v>4</v>
      </c>
      <c r="K33" s="2" t="str">
        <f t="shared" si="0"/>
        <v>resp-inc</v>
      </c>
      <c r="L33" s="2" t="s">
        <v>34</v>
      </c>
    </row>
    <row r="34" spans="1:12" x14ac:dyDescent="0.2">
      <c r="A34" s="2" t="s">
        <v>3</v>
      </c>
      <c r="B34" s="2" t="s">
        <v>950</v>
      </c>
      <c r="C34" s="2" t="s">
        <v>11</v>
      </c>
      <c r="D34" s="2" t="s">
        <v>834</v>
      </c>
      <c r="E34" s="2">
        <v>7</v>
      </c>
      <c r="F34" s="3">
        <v>4</v>
      </c>
      <c r="G34" s="2">
        <v>33</v>
      </c>
      <c r="H34" s="8">
        <v>1</v>
      </c>
      <c r="J34" s="4">
        <v>3</v>
      </c>
      <c r="K34" s="2" t="str">
        <f t="shared" si="0"/>
        <v>resp-inc</v>
      </c>
      <c r="L34" s="2" t="s">
        <v>34</v>
      </c>
    </row>
    <row r="35" spans="1:12" x14ac:dyDescent="0.2">
      <c r="A35" s="2" t="s">
        <v>3</v>
      </c>
      <c r="B35" s="2" t="s">
        <v>950</v>
      </c>
      <c r="C35" s="2" t="s">
        <v>11</v>
      </c>
      <c r="D35" s="2" t="s">
        <v>835</v>
      </c>
      <c r="E35" s="2">
        <v>7</v>
      </c>
      <c r="F35" s="3">
        <v>5</v>
      </c>
      <c r="G35" s="2">
        <v>34</v>
      </c>
      <c r="H35" s="8">
        <v>1</v>
      </c>
      <c r="J35" s="4">
        <v>1</v>
      </c>
      <c r="K35" s="2" t="str">
        <f t="shared" si="0"/>
        <v>resp-correct</v>
      </c>
      <c r="L35" s="2" t="s">
        <v>34</v>
      </c>
    </row>
    <row r="36" spans="1:12" x14ac:dyDescent="0.2">
      <c r="A36" s="2" t="s">
        <v>3</v>
      </c>
      <c r="B36" s="2" t="s">
        <v>950</v>
      </c>
      <c r="C36" s="2" t="s">
        <v>11</v>
      </c>
      <c r="D36" s="2" t="s">
        <v>836</v>
      </c>
      <c r="E36" s="2">
        <v>7</v>
      </c>
      <c r="F36" s="3">
        <v>6</v>
      </c>
      <c r="G36" s="2">
        <v>35</v>
      </c>
      <c r="H36" s="8">
        <v>2</v>
      </c>
      <c r="J36" s="4">
        <v>2</v>
      </c>
      <c r="K36" s="2" t="str">
        <f t="shared" si="0"/>
        <v>resp-correct</v>
      </c>
      <c r="L36" s="2" t="s">
        <v>32</v>
      </c>
    </row>
    <row r="37" spans="1:12" x14ac:dyDescent="0.2">
      <c r="A37" s="2" t="s">
        <v>3</v>
      </c>
      <c r="B37" s="2" t="s">
        <v>950</v>
      </c>
      <c r="C37" s="2" t="s">
        <v>12</v>
      </c>
      <c r="D37" s="2" t="s">
        <v>837</v>
      </c>
      <c r="E37" s="2">
        <v>8</v>
      </c>
      <c r="F37" s="3">
        <v>1</v>
      </c>
      <c r="G37" s="2">
        <v>36</v>
      </c>
      <c r="H37" s="8">
        <v>2</v>
      </c>
      <c r="J37" s="4">
        <v>3</v>
      </c>
      <c r="K37" s="2" t="str">
        <f t="shared" si="0"/>
        <v>resp-inc</v>
      </c>
      <c r="L37" s="2" t="s">
        <v>40</v>
      </c>
    </row>
    <row r="38" spans="1:12" x14ac:dyDescent="0.2">
      <c r="A38" s="2" t="s">
        <v>3</v>
      </c>
      <c r="B38" s="2" t="s">
        <v>950</v>
      </c>
      <c r="C38" s="2" t="s">
        <v>12</v>
      </c>
      <c r="D38" s="2" t="s">
        <v>838</v>
      </c>
      <c r="E38" s="2">
        <v>8</v>
      </c>
      <c r="F38" s="3">
        <v>2</v>
      </c>
      <c r="G38" s="2">
        <v>37</v>
      </c>
      <c r="H38" s="8">
        <v>2</v>
      </c>
      <c r="J38" s="4">
        <v>2</v>
      </c>
      <c r="K38" s="2" t="str">
        <f t="shared" si="0"/>
        <v>resp-correct</v>
      </c>
      <c r="L38" s="2" t="s">
        <v>136</v>
      </c>
    </row>
    <row r="39" spans="1:12" x14ac:dyDescent="0.2">
      <c r="A39" s="2" t="s">
        <v>3</v>
      </c>
      <c r="B39" s="2" t="s">
        <v>950</v>
      </c>
      <c r="C39" s="2" t="s">
        <v>12</v>
      </c>
      <c r="D39" s="2" t="s">
        <v>839</v>
      </c>
      <c r="E39" s="2">
        <v>8</v>
      </c>
      <c r="F39" s="3">
        <v>3</v>
      </c>
      <c r="G39" s="2">
        <v>38</v>
      </c>
      <c r="H39" s="8">
        <v>2</v>
      </c>
      <c r="J39" s="4">
        <v>1</v>
      </c>
      <c r="K39" s="2" t="str">
        <f t="shared" si="0"/>
        <v>resp-inc</v>
      </c>
      <c r="L39" s="2" t="s">
        <v>136</v>
      </c>
    </row>
    <row r="40" spans="1:12" x14ac:dyDescent="0.2">
      <c r="A40" s="2" t="s">
        <v>3</v>
      </c>
      <c r="B40" s="2" t="s">
        <v>950</v>
      </c>
      <c r="C40" s="2" t="s">
        <v>12</v>
      </c>
      <c r="D40" s="2" t="s">
        <v>840</v>
      </c>
      <c r="E40" s="2">
        <v>8</v>
      </c>
      <c r="F40" s="3">
        <v>4</v>
      </c>
      <c r="G40" s="2">
        <v>39</v>
      </c>
      <c r="H40" s="8">
        <v>2</v>
      </c>
      <c r="J40" s="4">
        <v>4</v>
      </c>
      <c r="K40" s="2" t="str">
        <f t="shared" si="0"/>
        <v>resp-inc</v>
      </c>
      <c r="L40" s="2" t="s">
        <v>40</v>
      </c>
    </row>
    <row r="41" spans="1:12" x14ac:dyDescent="0.2">
      <c r="A41" s="2" t="s">
        <v>3</v>
      </c>
      <c r="B41" s="2" t="s">
        <v>950</v>
      </c>
      <c r="C41" s="2" t="s">
        <v>12</v>
      </c>
      <c r="D41" s="2" t="s">
        <v>841</v>
      </c>
      <c r="E41" s="2">
        <v>8</v>
      </c>
      <c r="F41" s="3">
        <v>5</v>
      </c>
      <c r="G41" s="2">
        <v>40</v>
      </c>
      <c r="H41" s="8">
        <v>2</v>
      </c>
      <c r="J41" s="4">
        <v>1</v>
      </c>
      <c r="K41" s="2" t="str">
        <f t="shared" si="0"/>
        <v>resp-inc</v>
      </c>
      <c r="L41" s="2" t="s">
        <v>136</v>
      </c>
    </row>
    <row r="42" spans="1:12" x14ac:dyDescent="0.2">
      <c r="A42" s="2" t="s">
        <v>3</v>
      </c>
      <c r="B42" s="2" t="s">
        <v>950</v>
      </c>
      <c r="C42" s="2" t="s">
        <v>12</v>
      </c>
      <c r="D42" s="2" t="s">
        <v>842</v>
      </c>
      <c r="E42" s="2">
        <v>8</v>
      </c>
      <c r="F42" s="3">
        <v>6</v>
      </c>
      <c r="G42" s="2">
        <v>41</v>
      </c>
      <c r="H42" s="8">
        <v>2</v>
      </c>
      <c r="J42" s="4">
        <v>1</v>
      </c>
      <c r="K42" s="2" t="str">
        <f t="shared" si="0"/>
        <v>resp-inc</v>
      </c>
      <c r="L42" s="2" t="s">
        <v>139</v>
      </c>
    </row>
    <row r="43" spans="1:12" x14ac:dyDescent="0.2">
      <c r="A43" s="2" t="s">
        <v>3</v>
      </c>
      <c r="B43" s="2" t="s">
        <v>950</v>
      </c>
      <c r="C43" s="2" t="s">
        <v>93</v>
      </c>
      <c r="D43" s="2" t="s">
        <v>843</v>
      </c>
      <c r="E43" s="2">
        <v>9</v>
      </c>
      <c r="F43" s="3">
        <v>1</v>
      </c>
      <c r="G43" s="2">
        <v>42</v>
      </c>
      <c r="H43" s="8">
        <v>2</v>
      </c>
      <c r="J43" s="4">
        <v>2</v>
      </c>
      <c r="K43" s="2" t="str">
        <f t="shared" si="0"/>
        <v>resp-correct</v>
      </c>
      <c r="L43" s="2" t="s">
        <v>33</v>
      </c>
    </row>
    <row r="44" spans="1:12" x14ac:dyDescent="0.2">
      <c r="A44" s="2" t="s">
        <v>3</v>
      </c>
      <c r="B44" s="2" t="s">
        <v>950</v>
      </c>
      <c r="C44" s="2" t="s">
        <v>93</v>
      </c>
      <c r="D44" s="2" t="s">
        <v>844</v>
      </c>
      <c r="E44" s="2">
        <v>9</v>
      </c>
      <c r="F44" s="3">
        <v>2</v>
      </c>
      <c r="G44" s="2">
        <v>43</v>
      </c>
      <c r="H44" s="8">
        <v>2</v>
      </c>
      <c r="J44" s="4">
        <v>2</v>
      </c>
      <c r="K44" s="2" t="str">
        <f t="shared" si="0"/>
        <v>resp-correct</v>
      </c>
      <c r="L44" s="2" t="s">
        <v>38</v>
      </c>
    </row>
    <row r="45" spans="1:12" x14ac:dyDescent="0.2">
      <c r="A45" s="2" t="s">
        <v>3</v>
      </c>
      <c r="B45" s="2" t="s">
        <v>950</v>
      </c>
      <c r="C45" s="2" t="s">
        <v>93</v>
      </c>
      <c r="D45" s="2" t="s">
        <v>845</v>
      </c>
      <c r="E45" s="2">
        <v>9</v>
      </c>
      <c r="F45" s="3">
        <v>3</v>
      </c>
      <c r="G45" s="2">
        <v>44</v>
      </c>
      <c r="H45" s="8">
        <v>2</v>
      </c>
      <c r="J45" s="4">
        <v>3</v>
      </c>
      <c r="K45" s="2" t="str">
        <f t="shared" si="0"/>
        <v>resp-inc</v>
      </c>
      <c r="L45" s="2" t="s">
        <v>35</v>
      </c>
    </row>
    <row r="46" spans="1:12" x14ac:dyDescent="0.2">
      <c r="A46" s="2" t="s">
        <v>3</v>
      </c>
      <c r="B46" s="2" t="s">
        <v>950</v>
      </c>
      <c r="C46" s="2" t="s">
        <v>93</v>
      </c>
      <c r="D46" s="2" t="s">
        <v>846</v>
      </c>
      <c r="E46" s="2">
        <v>9</v>
      </c>
      <c r="F46" s="3">
        <v>4</v>
      </c>
      <c r="G46" s="2">
        <v>45</v>
      </c>
      <c r="H46" s="8">
        <v>2</v>
      </c>
      <c r="J46" s="4">
        <v>2</v>
      </c>
      <c r="K46" s="2" t="str">
        <f t="shared" si="0"/>
        <v>resp-correct</v>
      </c>
      <c r="L46" s="2" t="s">
        <v>35</v>
      </c>
    </row>
    <row r="47" spans="1:12" x14ac:dyDescent="0.2">
      <c r="A47" s="2" t="s">
        <v>3</v>
      </c>
      <c r="B47" s="2" t="s">
        <v>950</v>
      </c>
      <c r="C47" s="2" t="s">
        <v>93</v>
      </c>
      <c r="D47" s="2" t="s">
        <v>847</v>
      </c>
      <c r="E47" s="2">
        <v>9</v>
      </c>
      <c r="F47" s="3">
        <v>5</v>
      </c>
      <c r="G47" s="2">
        <v>46</v>
      </c>
      <c r="H47" s="8">
        <v>2</v>
      </c>
      <c r="J47" s="4">
        <v>3</v>
      </c>
      <c r="K47" s="2" t="str">
        <f t="shared" si="0"/>
        <v>resp-inc</v>
      </c>
      <c r="L47" s="2" t="s">
        <v>123</v>
      </c>
    </row>
    <row r="48" spans="1:12" x14ac:dyDescent="0.2">
      <c r="A48" s="2" t="s">
        <v>3</v>
      </c>
      <c r="B48" s="2" t="s">
        <v>950</v>
      </c>
      <c r="C48" s="2" t="s">
        <v>93</v>
      </c>
      <c r="D48" s="2" t="s">
        <v>848</v>
      </c>
      <c r="E48" s="2">
        <v>9</v>
      </c>
      <c r="F48" s="3">
        <v>6</v>
      </c>
      <c r="G48" s="2">
        <v>47</v>
      </c>
      <c r="H48" s="8">
        <v>2</v>
      </c>
      <c r="J48" s="4">
        <v>4</v>
      </c>
      <c r="K48" s="2" t="str">
        <f t="shared" si="0"/>
        <v>resp-inc</v>
      </c>
      <c r="L48" s="2" t="s">
        <v>33</v>
      </c>
    </row>
    <row r="49" spans="1:12" x14ac:dyDescent="0.2">
      <c r="A49" s="2" t="s">
        <v>3</v>
      </c>
      <c r="B49" s="2" t="s">
        <v>950</v>
      </c>
      <c r="C49" s="2" t="s">
        <v>6</v>
      </c>
      <c r="D49" s="2" t="s">
        <v>849</v>
      </c>
      <c r="E49" s="2">
        <v>10</v>
      </c>
      <c r="F49" s="3">
        <v>1</v>
      </c>
      <c r="G49" s="2">
        <v>48</v>
      </c>
      <c r="H49" s="8">
        <v>2</v>
      </c>
      <c r="J49" s="4">
        <v>4</v>
      </c>
      <c r="K49" s="2" t="str">
        <f t="shared" si="0"/>
        <v>resp-inc</v>
      </c>
      <c r="L49" s="2" t="s">
        <v>139</v>
      </c>
    </row>
    <row r="50" spans="1:12" x14ac:dyDescent="0.2">
      <c r="A50" s="2" t="s">
        <v>3</v>
      </c>
      <c r="B50" s="2" t="s">
        <v>950</v>
      </c>
      <c r="C50" s="2" t="s">
        <v>6</v>
      </c>
      <c r="D50" s="2" t="s">
        <v>850</v>
      </c>
      <c r="E50" s="2">
        <v>10</v>
      </c>
      <c r="F50" s="3">
        <v>2</v>
      </c>
      <c r="G50" s="2">
        <v>49</v>
      </c>
      <c r="H50" s="8">
        <v>2</v>
      </c>
      <c r="J50" s="4">
        <v>2</v>
      </c>
      <c r="K50" s="2" t="str">
        <f t="shared" si="0"/>
        <v>resp-correct</v>
      </c>
      <c r="L50" s="2" t="s">
        <v>36</v>
      </c>
    </row>
    <row r="51" spans="1:12" x14ac:dyDescent="0.2">
      <c r="A51" s="2" t="s">
        <v>3</v>
      </c>
      <c r="B51" s="2" t="s">
        <v>950</v>
      </c>
      <c r="C51" s="2" t="s">
        <v>6</v>
      </c>
      <c r="D51" s="2" t="s">
        <v>851</v>
      </c>
      <c r="E51" s="2">
        <v>10</v>
      </c>
      <c r="F51" s="3">
        <v>3</v>
      </c>
      <c r="G51" s="2">
        <v>50</v>
      </c>
      <c r="H51" s="8">
        <v>2</v>
      </c>
      <c r="J51" s="4">
        <v>2</v>
      </c>
      <c r="K51" s="2" t="str">
        <f t="shared" si="0"/>
        <v>resp-correct</v>
      </c>
      <c r="L51" s="2" t="s">
        <v>30</v>
      </c>
    </row>
    <row r="52" spans="1:12" x14ac:dyDescent="0.2">
      <c r="A52" s="2" t="s">
        <v>3</v>
      </c>
      <c r="B52" s="2" t="s">
        <v>950</v>
      </c>
      <c r="C52" s="2" t="s">
        <v>6</v>
      </c>
      <c r="D52" s="2" t="s">
        <v>852</v>
      </c>
      <c r="E52" s="2">
        <v>10</v>
      </c>
      <c r="F52" s="3">
        <v>4</v>
      </c>
      <c r="G52" s="2">
        <v>51</v>
      </c>
      <c r="H52" s="8">
        <v>2</v>
      </c>
      <c r="J52" s="4">
        <v>1</v>
      </c>
      <c r="K52" s="2" t="str">
        <f t="shared" si="0"/>
        <v>resp-inc</v>
      </c>
      <c r="L52" s="2" t="s">
        <v>124</v>
      </c>
    </row>
    <row r="53" spans="1:12" x14ac:dyDescent="0.2">
      <c r="A53" s="2" t="s">
        <v>3</v>
      </c>
      <c r="B53" s="2" t="s">
        <v>950</v>
      </c>
      <c r="C53" s="2" t="s">
        <v>6</v>
      </c>
      <c r="D53" s="2" t="s">
        <v>853</v>
      </c>
      <c r="E53" s="2">
        <v>10</v>
      </c>
      <c r="F53" s="3">
        <v>5</v>
      </c>
      <c r="G53" s="2">
        <v>52</v>
      </c>
      <c r="H53" s="8">
        <v>2</v>
      </c>
      <c r="J53" s="4">
        <v>4</v>
      </c>
      <c r="K53" s="2" t="str">
        <f t="shared" si="0"/>
        <v>resp-inc</v>
      </c>
      <c r="L53" s="2" t="s">
        <v>66</v>
      </c>
    </row>
    <row r="54" spans="1:12" x14ac:dyDescent="0.2">
      <c r="A54" s="2" t="s">
        <v>4</v>
      </c>
      <c r="B54" s="2" t="s">
        <v>951</v>
      </c>
      <c r="C54" s="2" t="s">
        <v>7</v>
      </c>
      <c r="D54" s="2" t="s">
        <v>854</v>
      </c>
      <c r="E54" s="2">
        <v>1</v>
      </c>
      <c r="F54" s="3">
        <v>1</v>
      </c>
      <c r="G54" s="2">
        <v>1</v>
      </c>
      <c r="H54" s="8">
        <v>2</v>
      </c>
      <c r="J54" s="4">
        <v>4</v>
      </c>
      <c r="K54" s="2" t="str">
        <f t="shared" si="0"/>
        <v>resp-inc</v>
      </c>
      <c r="L54" s="2" t="s">
        <v>44</v>
      </c>
    </row>
    <row r="55" spans="1:12" x14ac:dyDescent="0.2">
      <c r="A55" s="2" t="s">
        <v>4</v>
      </c>
      <c r="B55" s="2" t="s">
        <v>951</v>
      </c>
      <c r="C55" s="2" t="s">
        <v>7</v>
      </c>
      <c r="D55" s="2" t="s">
        <v>855</v>
      </c>
      <c r="E55" s="2">
        <v>1</v>
      </c>
      <c r="F55" s="3">
        <v>2</v>
      </c>
      <c r="G55" s="2">
        <v>2</v>
      </c>
      <c r="H55" s="8">
        <v>3</v>
      </c>
      <c r="J55" s="4">
        <v>4</v>
      </c>
      <c r="K55" s="2" t="str">
        <f t="shared" si="0"/>
        <v>resp-inc</v>
      </c>
      <c r="L55" s="2" t="s">
        <v>42</v>
      </c>
    </row>
    <row r="56" spans="1:12" x14ac:dyDescent="0.2">
      <c r="A56" s="2" t="s">
        <v>4</v>
      </c>
      <c r="B56" s="2" t="s">
        <v>951</v>
      </c>
      <c r="C56" s="2" t="s">
        <v>7</v>
      </c>
      <c r="D56" s="2" t="s">
        <v>856</v>
      </c>
      <c r="E56" s="2">
        <v>1</v>
      </c>
      <c r="F56" s="3">
        <v>3</v>
      </c>
      <c r="G56" s="2">
        <v>3</v>
      </c>
      <c r="H56" s="8">
        <v>3</v>
      </c>
      <c r="J56" s="4">
        <v>4</v>
      </c>
      <c r="K56" s="2" t="str">
        <f t="shared" si="0"/>
        <v>resp-inc</v>
      </c>
      <c r="L56" s="2" t="s">
        <v>42</v>
      </c>
    </row>
    <row r="57" spans="1:12" x14ac:dyDescent="0.2">
      <c r="A57" s="2" t="s">
        <v>4</v>
      </c>
      <c r="B57" s="2" t="s">
        <v>951</v>
      </c>
      <c r="C57" s="2" t="s">
        <v>7</v>
      </c>
      <c r="D57" s="2" t="s">
        <v>857</v>
      </c>
      <c r="E57" s="2">
        <v>1</v>
      </c>
      <c r="F57" s="3">
        <v>4</v>
      </c>
      <c r="G57" s="2">
        <v>4</v>
      </c>
      <c r="H57" s="8">
        <v>3</v>
      </c>
      <c r="J57" s="4">
        <v>3</v>
      </c>
      <c r="K57" s="2" t="str">
        <f t="shared" si="0"/>
        <v>resp-correct</v>
      </c>
      <c r="L57" s="2" t="s">
        <v>46</v>
      </c>
    </row>
    <row r="58" spans="1:12" x14ac:dyDescent="0.2">
      <c r="A58" s="2" t="s">
        <v>4</v>
      </c>
      <c r="B58" s="2" t="s">
        <v>951</v>
      </c>
      <c r="C58" s="2" t="s">
        <v>7</v>
      </c>
      <c r="D58" s="2" t="s">
        <v>858</v>
      </c>
      <c r="E58" s="2">
        <v>1</v>
      </c>
      <c r="F58" s="3">
        <v>5</v>
      </c>
      <c r="G58" s="2">
        <v>5</v>
      </c>
      <c r="H58" s="8">
        <v>3</v>
      </c>
      <c r="J58" s="4">
        <v>4</v>
      </c>
      <c r="K58" s="2" t="str">
        <f t="shared" si="0"/>
        <v>resp-inc</v>
      </c>
      <c r="L58" s="2" t="s">
        <v>46</v>
      </c>
    </row>
    <row r="59" spans="1:12" x14ac:dyDescent="0.2">
      <c r="A59" s="2" t="s">
        <v>4</v>
      </c>
      <c r="B59" s="2" t="s">
        <v>951</v>
      </c>
      <c r="C59" s="2" t="s">
        <v>7</v>
      </c>
      <c r="D59" s="2" t="s">
        <v>859</v>
      </c>
      <c r="E59" s="2">
        <v>1</v>
      </c>
      <c r="F59" s="3">
        <v>6</v>
      </c>
      <c r="G59" s="2">
        <v>6</v>
      </c>
      <c r="H59" s="8">
        <v>3</v>
      </c>
      <c r="J59" s="4">
        <v>1</v>
      </c>
      <c r="K59" s="2" t="str">
        <f t="shared" si="0"/>
        <v>resp-inc</v>
      </c>
      <c r="L59" s="2" t="s">
        <v>46</v>
      </c>
    </row>
    <row r="60" spans="1:12" x14ac:dyDescent="0.2">
      <c r="A60" s="2" t="s">
        <v>4</v>
      </c>
      <c r="B60" s="2" t="s">
        <v>951</v>
      </c>
      <c r="C60" s="2" t="s">
        <v>7</v>
      </c>
      <c r="D60" s="2" t="s">
        <v>860</v>
      </c>
      <c r="E60" s="2">
        <v>1</v>
      </c>
      <c r="F60" s="3">
        <v>7</v>
      </c>
      <c r="G60" s="2">
        <v>7</v>
      </c>
      <c r="H60" s="8">
        <v>3</v>
      </c>
      <c r="J60" s="4">
        <v>4</v>
      </c>
      <c r="K60" s="2" t="str">
        <f t="shared" si="0"/>
        <v>resp-inc</v>
      </c>
      <c r="L60" s="2" t="s">
        <v>42</v>
      </c>
    </row>
    <row r="61" spans="1:12" x14ac:dyDescent="0.2">
      <c r="A61" s="2" t="s">
        <v>4</v>
      </c>
      <c r="B61" s="2" t="s">
        <v>951</v>
      </c>
      <c r="C61" s="2" t="s">
        <v>8</v>
      </c>
      <c r="D61" s="2" t="s">
        <v>861</v>
      </c>
      <c r="E61" s="2">
        <v>2</v>
      </c>
      <c r="F61" s="3">
        <v>1</v>
      </c>
      <c r="G61" s="2">
        <v>8</v>
      </c>
      <c r="H61" s="8">
        <v>4</v>
      </c>
      <c r="J61" s="4">
        <v>2</v>
      </c>
      <c r="K61" s="2" t="str">
        <f t="shared" si="0"/>
        <v>resp-inc</v>
      </c>
      <c r="L61" s="2" t="s">
        <v>46</v>
      </c>
    </row>
    <row r="62" spans="1:12" x14ac:dyDescent="0.2">
      <c r="A62" s="2" t="s">
        <v>4</v>
      </c>
      <c r="B62" s="2" t="s">
        <v>951</v>
      </c>
      <c r="C62" s="2" t="s">
        <v>8</v>
      </c>
      <c r="D62" s="2" t="s">
        <v>862</v>
      </c>
      <c r="E62" s="2">
        <v>2</v>
      </c>
      <c r="F62" s="3">
        <v>2</v>
      </c>
      <c r="G62" s="2">
        <v>9</v>
      </c>
      <c r="H62" s="8">
        <v>4</v>
      </c>
      <c r="J62" s="4">
        <v>3</v>
      </c>
      <c r="K62" s="2" t="str">
        <f t="shared" si="0"/>
        <v>resp-inc</v>
      </c>
      <c r="L62" s="2" t="s">
        <v>42</v>
      </c>
    </row>
    <row r="63" spans="1:12" x14ac:dyDescent="0.2">
      <c r="A63" s="2" t="s">
        <v>4</v>
      </c>
      <c r="B63" s="2" t="s">
        <v>951</v>
      </c>
      <c r="C63" s="2" t="s">
        <v>8</v>
      </c>
      <c r="D63" s="2" t="s">
        <v>863</v>
      </c>
      <c r="E63" s="2">
        <v>2</v>
      </c>
      <c r="F63" s="3">
        <v>3</v>
      </c>
      <c r="G63" s="2">
        <v>10</v>
      </c>
      <c r="H63" s="8">
        <v>4</v>
      </c>
      <c r="J63" s="4">
        <v>2</v>
      </c>
      <c r="K63" s="2" t="str">
        <f t="shared" si="0"/>
        <v>resp-inc</v>
      </c>
      <c r="L63" s="2" t="s">
        <v>43</v>
      </c>
    </row>
    <row r="64" spans="1:12" x14ac:dyDescent="0.2">
      <c r="A64" s="2" t="s">
        <v>4</v>
      </c>
      <c r="B64" s="2" t="s">
        <v>951</v>
      </c>
      <c r="C64" s="2" t="s">
        <v>8</v>
      </c>
      <c r="D64" s="2" t="s">
        <v>864</v>
      </c>
      <c r="E64" s="2">
        <v>2</v>
      </c>
      <c r="F64" s="3">
        <v>4</v>
      </c>
      <c r="G64" s="2">
        <v>11</v>
      </c>
      <c r="H64" s="8">
        <v>4</v>
      </c>
      <c r="J64" s="4">
        <v>3</v>
      </c>
      <c r="K64" s="2" t="str">
        <f t="shared" si="0"/>
        <v>resp-inc</v>
      </c>
      <c r="L64" s="4" t="s">
        <v>46</v>
      </c>
    </row>
    <row r="65" spans="1:12" x14ac:dyDescent="0.2">
      <c r="A65" s="2" t="s">
        <v>4</v>
      </c>
      <c r="B65" s="2" t="s">
        <v>951</v>
      </c>
      <c r="C65" s="2" t="s">
        <v>8</v>
      </c>
      <c r="D65" s="2" t="s">
        <v>865</v>
      </c>
      <c r="E65" s="2">
        <v>2</v>
      </c>
      <c r="F65" s="3">
        <v>5</v>
      </c>
      <c r="G65" s="2">
        <v>12</v>
      </c>
      <c r="H65" s="8">
        <v>4</v>
      </c>
      <c r="J65" s="4">
        <v>4</v>
      </c>
      <c r="K65" s="2" t="str">
        <f t="shared" si="0"/>
        <v>resp-correct</v>
      </c>
      <c r="L65" s="2" t="s">
        <v>44</v>
      </c>
    </row>
    <row r="66" spans="1:12" x14ac:dyDescent="0.2">
      <c r="A66" s="2" t="s">
        <v>4</v>
      </c>
      <c r="B66" s="2" t="s">
        <v>951</v>
      </c>
      <c r="C66" s="2" t="s">
        <v>9</v>
      </c>
      <c r="D66" s="2" t="s">
        <v>866</v>
      </c>
      <c r="E66" s="2">
        <v>3</v>
      </c>
      <c r="F66" s="3">
        <v>1</v>
      </c>
      <c r="G66" s="2">
        <v>13</v>
      </c>
      <c r="H66" s="8">
        <v>1</v>
      </c>
      <c r="J66" s="4">
        <v>3</v>
      </c>
      <c r="K66" s="2" t="str">
        <f t="shared" si="0"/>
        <v>resp-inc</v>
      </c>
      <c r="L66" s="2" t="s">
        <v>43</v>
      </c>
    </row>
    <row r="67" spans="1:12" x14ac:dyDescent="0.2">
      <c r="A67" s="2" t="s">
        <v>4</v>
      </c>
      <c r="B67" s="2" t="s">
        <v>951</v>
      </c>
      <c r="C67" s="2" t="s">
        <v>9</v>
      </c>
      <c r="D67" s="2" t="s">
        <v>867</v>
      </c>
      <c r="E67" s="2">
        <v>3</v>
      </c>
      <c r="F67" s="3">
        <v>2</v>
      </c>
      <c r="G67" s="2">
        <v>14</v>
      </c>
      <c r="H67" s="8">
        <v>1</v>
      </c>
      <c r="J67" s="4">
        <v>2</v>
      </c>
      <c r="K67" s="2" t="str">
        <f t="shared" si="0"/>
        <v>resp-inc</v>
      </c>
      <c r="L67" s="2" t="s">
        <v>45</v>
      </c>
    </row>
    <row r="68" spans="1:12" x14ac:dyDescent="0.2">
      <c r="A68" s="2" t="s">
        <v>4</v>
      </c>
      <c r="B68" s="2" t="s">
        <v>951</v>
      </c>
      <c r="C68" s="2" t="s">
        <v>9</v>
      </c>
      <c r="D68" s="2" t="s">
        <v>868</v>
      </c>
      <c r="E68" s="2">
        <v>3</v>
      </c>
      <c r="F68" s="3">
        <v>3</v>
      </c>
      <c r="G68" s="2">
        <v>15</v>
      </c>
      <c r="H68" s="8">
        <v>1</v>
      </c>
      <c r="J68" s="4">
        <v>4</v>
      </c>
      <c r="K68" s="2" t="str">
        <f t="shared" si="0"/>
        <v>resp-inc</v>
      </c>
      <c r="L68" s="2" t="s">
        <v>46</v>
      </c>
    </row>
    <row r="69" spans="1:12" x14ac:dyDescent="0.2">
      <c r="A69" s="2" t="s">
        <v>4</v>
      </c>
      <c r="B69" s="2" t="s">
        <v>951</v>
      </c>
      <c r="C69" s="17" t="s">
        <v>9</v>
      </c>
      <c r="D69" s="2" t="s">
        <v>869</v>
      </c>
      <c r="E69" s="2">
        <v>3</v>
      </c>
      <c r="F69" s="3">
        <v>4</v>
      </c>
      <c r="G69" s="2">
        <v>16</v>
      </c>
      <c r="H69" s="8">
        <v>1</v>
      </c>
      <c r="J69" s="4">
        <v>4</v>
      </c>
      <c r="K69" s="2" t="str">
        <f t="shared" si="0"/>
        <v>resp-inc</v>
      </c>
      <c r="L69" s="2" t="s">
        <v>46</v>
      </c>
    </row>
    <row r="70" spans="1:12" x14ac:dyDescent="0.2">
      <c r="A70" s="2" t="s">
        <v>4</v>
      </c>
      <c r="B70" s="2" t="s">
        <v>951</v>
      </c>
      <c r="C70" s="17" t="s">
        <v>9</v>
      </c>
      <c r="D70" s="2" t="s">
        <v>870</v>
      </c>
      <c r="E70" s="2">
        <v>3</v>
      </c>
      <c r="F70" s="3">
        <v>5</v>
      </c>
      <c r="G70" s="2">
        <v>17</v>
      </c>
      <c r="H70" s="8">
        <v>2</v>
      </c>
      <c r="J70" s="4">
        <v>3</v>
      </c>
      <c r="K70" s="2" t="str">
        <f t="shared" si="0"/>
        <v>resp-inc</v>
      </c>
      <c r="L70" s="2" t="s">
        <v>46</v>
      </c>
    </row>
    <row r="71" spans="1:12" x14ac:dyDescent="0.2">
      <c r="A71" s="2" t="s">
        <v>4</v>
      </c>
      <c r="B71" s="2" t="s">
        <v>951</v>
      </c>
      <c r="C71" s="17" t="s">
        <v>10</v>
      </c>
      <c r="D71" s="2" t="s">
        <v>871</v>
      </c>
      <c r="E71" s="2">
        <v>4</v>
      </c>
      <c r="F71" s="3">
        <v>1</v>
      </c>
      <c r="G71" s="2">
        <v>18</v>
      </c>
      <c r="H71" s="8">
        <v>2</v>
      </c>
      <c r="J71" s="4">
        <v>4</v>
      </c>
      <c r="K71" s="2" t="str">
        <f t="shared" si="0"/>
        <v>resp-inc</v>
      </c>
      <c r="L71" s="2" t="s">
        <v>46</v>
      </c>
    </row>
    <row r="72" spans="1:12" x14ac:dyDescent="0.2">
      <c r="A72" s="2" t="s">
        <v>4</v>
      </c>
      <c r="B72" s="2" t="s">
        <v>951</v>
      </c>
      <c r="C72" s="17" t="s">
        <v>10</v>
      </c>
      <c r="D72" s="2" t="s">
        <v>872</v>
      </c>
      <c r="E72" s="2">
        <v>4</v>
      </c>
      <c r="F72" s="3">
        <v>2</v>
      </c>
      <c r="G72" s="2">
        <v>19</v>
      </c>
      <c r="H72" s="8">
        <v>2</v>
      </c>
      <c r="J72" s="4">
        <v>2</v>
      </c>
      <c r="K72" s="2" t="str">
        <f t="shared" si="0"/>
        <v>resp-correct</v>
      </c>
      <c r="L72" s="4" t="s">
        <v>46</v>
      </c>
    </row>
    <row r="73" spans="1:12" x14ac:dyDescent="0.2">
      <c r="A73" s="2" t="s">
        <v>4</v>
      </c>
      <c r="B73" s="2" t="s">
        <v>951</v>
      </c>
      <c r="C73" s="17" t="s">
        <v>10</v>
      </c>
      <c r="D73" s="2" t="s">
        <v>873</v>
      </c>
      <c r="E73" s="2">
        <v>4</v>
      </c>
      <c r="F73" s="3">
        <v>3</v>
      </c>
      <c r="G73" s="2">
        <v>20</v>
      </c>
      <c r="H73" s="8">
        <v>2</v>
      </c>
      <c r="J73" s="4">
        <v>3</v>
      </c>
      <c r="K73" s="2" t="str">
        <f t="shared" si="0"/>
        <v>resp-inc</v>
      </c>
      <c r="L73" s="2" t="s">
        <v>45</v>
      </c>
    </row>
    <row r="74" spans="1:12" x14ac:dyDescent="0.2">
      <c r="A74" s="2" t="s">
        <v>4</v>
      </c>
      <c r="B74" s="2" t="s">
        <v>951</v>
      </c>
      <c r="C74" s="17" t="s">
        <v>10</v>
      </c>
      <c r="D74" s="2" t="s">
        <v>874</v>
      </c>
      <c r="E74" s="2">
        <v>4</v>
      </c>
      <c r="F74" s="3">
        <v>4</v>
      </c>
      <c r="G74" s="2">
        <v>21</v>
      </c>
      <c r="H74" s="8">
        <v>2</v>
      </c>
      <c r="J74" s="4">
        <v>2</v>
      </c>
      <c r="K74" s="2" t="str">
        <f t="shared" si="0"/>
        <v>resp-correct</v>
      </c>
      <c r="L74" s="2" t="s">
        <v>43</v>
      </c>
    </row>
    <row r="75" spans="1:12" x14ac:dyDescent="0.2">
      <c r="A75" s="2" t="s">
        <v>4</v>
      </c>
      <c r="B75" s="2" t="s">
        <v>951</v>
      </c>
      <c r="C75" s="2" t="s">
        <v>10</v>
      </c>
      <c r="D75" s="2" t="s">
        <v>875</v>
      </c>
      <c r="E75" s="2">
        <v>4</v>
      </c>
      <c r="F75" s="3">
        <v>5</v>
      </c>
      <c r="G75" s="2">
        <v>22</v>
      </c>
      <c r="H75" s="8">
        <v>1</v>
      </c>
      <c r="J75" s="4">
        <v>3</v>
      </c>
      <c r="K75" s="2" t="str">
        <f t="shared" si="0"/>
        <v>resp-inc</v>
      </c>
      <c r="L75" s="4" t="s">
        <v>46</v>
      </c>
    </row>
    <row r="76" spans="1:12" x14ac:dyDescent="0.2">
      <c r="A76" s="2" t="s">
        <v>4</v>
      </c>
      <c r="B76" s="2" t="s">
        <v>951</v>
      </c>
      <c r="C76" s="2" t="s">
        <v>10</v>
      </c>
      <c r="D76" s="2" t="s">
        <v>876</v>
      </c>
      <c r="E76" s="2">
        <v>4</v>
      </c>
      <c r="F76" s="3">
        <v>6</v>
      </c>
      <c r="G76" s="2">
        <v>23</v>
      </c>
      <c r="H76" s="8">
        <v>2</v>
      </c>
      <c r="J76" s="4">
        <v>3</v>
      </c>
      <c r="K76" s="2" t="str">
        <f t="shared" si="0"/>
        <v>resp-inc</v>
      </c>
      <c r="L76" s="2" t="s">
        <v>45</v>
      </c>
    </row>
    <row r="77" spans="1:12" x14ac:dyDescent="0.2">
      <c r="A77" s="2" t="s">
        <v>4</v>
      </c>
      <c r="B77" s="2" t="s">
        <v>951</v>
      </c>
      <c r="C77" s="2" t="s">
        <v>11</v>
      </c>
      <c r="D77" s="2" t="s">
        <v>877</v>
      </c>
      <c r="E77" s="2">
        <v>5</v>
      </c>
      <c r="F77" s="3">
        <v>1</v>
      </c>
      <c r="G77" s="2">
        <v>24</v>
      </c>
      <c r="H77" s="8">
        <v>1</v>
      </c>
      <c r="J77" s="4">
        <v>1</v>
      </c>
      <c r="K77" s="2" t="str">
        <f t="shared" si="0"/>
        <v>resp-correct</v>
      </c>
      <c r="L77" s="4" t="s">
        <v>46</v>
      </c>
    </row>
    <row r="78" spans="1:12" x14ac:dyDescent="0.2">
      <c r="A78" s="2" t="s">
        <v>4</v>
      </c>
      <c r="B78" s="2" t="s">
        <v>951</v>
      </c>
      <c r="C78" s="2" t="s">
        <v>11</v>
      </c>
      <c r="D78" s="2" t="s">
        <v>878</v>
      </c>
      <c r="E78" s="2">
        <v>5</v>
      </c>
      <c r="F78" s="3">
        <v>2</v>
      </c>
      <c r="G78" s="2">
        <v>25</v>
      </c>
      <c r="H78" s="8">
        <v>1</v>
      </c>
      <c r="J78" s="4">
        <v>3</v>
      </c>
      <c r="K78" s="2" t="str">
        <f t="shared" si="0"/>
        <v>resp-inc</v>
      </c>
      <c r="L78" s="2" t="s">
        <v>46</v>
      </c>
    </row>
    <row r="79" spans="1:12" x14ac:dyDescent="0.2">
      <c r="A79" s="2" t="s">
        <v>4</v>
      </c>
      <c r="B79" s="2" t="s">
        <v>951</v>
      </c>
      <c r="C79" s="2" t="s">
        <v>11</v>
      </c>
      <c r="D79" s="2" t="s">
        <v>879</v>
      </c>
      <c r="E79" s="2">
        <v>5</v>
      </c>
      <c r="F79" s="3">
        <v>3</v>
      </c>
      <c r="G79" s="2">
        <v>26</v>
      </c>
      <c r="H79" s="8">
        <v>2</v>
      </c>
      <c r="J79" s="4">
        <v>1</v>
      </c>
      <c r="K79" s="2" t="str">
        <f t="shared" ref="K79:K142" si="1">IF(H79=J79,"resp-correct","resp-inc")</f>
        <v>resp-inc</v>
      </c>
      <c r="L79" s="2" t="s">
        <v>46</v>
      </c>
    </row>
    <row r="80" spans="1:12" x14ac:dyDescent="0.2">
      <c r="A80" s="2" t="s">
        <v>4</v>
      </c>
      <c r="B80" s="2" t="s">
        <v>951</v>
      </c>
      <c r="C80" s="2" t="s">
        <v>11</v>
      </c>
      <c r="D80" s="2" t="s">
        <v>880</v>
      </c>
      <c r="E80" s="2">
        <v>5</v>
      </c>
      <c r="F80" s="3">
        <v>4</v>
      </c>
      <c r="G80" s="2">
        <v>27</v>
      </c>
      <c r="H80" s="8">
        <v>2</v>
      </c>
      <c r="J80" s="4">
        <v>2</v>
      </c>
      <c r="K80" s="2" t="str">
        <f t="shared" si="1"/>
        <v>resp-correct</v>
      </c>
      <c r="L80" s="2" t="s">
        <v>42</v>
      </c>
    </row>
    <row r="81" spans="1:12" x14ac:dyDescent="0.2">
      <c r="A81" s="2" t="s">
        <v>4</v>
      </c>
      <c r="B81" s="2" t="s">
        <v>951</v>
      </c>
      <c r="C81" s="2" t="s">
        <v>11</v>
      </c>
      <c r="D81" s="2" t="s">
        <v>881</v>
      </c>
      <c r="E81" s="2">
        <v>5</v>
      </c>
      <c r="F81" s="3">
        <v>5</v>
      </c>
      <c r="G81" s="2">
        <v>28</v>
      </c>
      <c r="H81" s="8">
        <v>2</v>
      </c>
      <c r="J81" s="4">
        <v>4</v>
      </c>
      <c r="K81" s="2" t="str">
        <f t="shared" si="1"/>
        <v>resp-inc</v>
      </c>
      <c r="L81" s="2" t="s">
        <v>44</v>
      </c>
    </row>
    <row r="82" spans="1:12" x14ac:dyDescent="0.2">
      <c r="A82" s="2" t="s">
        <v>4</v>
      </c>
      <c r="B82" s="2" t="s">
        <v>951</v>
      </c>
      <c r="C82" s="2" t="s">
        <v>12</v>
      </c>
      <c r="D82" s="2" t="s">
        <v>882</v>
      </c>
      <c r="E82" s="2">
        <v>6</v>
      </c>
      <c r="F82" s="3">
        <v>1</v>
      </c>
      <c r="G82" s="2">
        <v>29</v>
      </c>
      <c r="H82" s="8">
        <v>2</v>
      </c>
      <c r="J82" s="4">
        <v>2</v>
      </c>
      <c r="K82" s="2" t="str">
        <f t="shared" si="1"/>
        <v>resp-correct</v>
      </c>
      <c r="L82" s="4" t="s">
        <v>43</v>
      </c>
    </row>
    <row r="83" spans="1:12" x14ac:dyDescent="0.2">
      <c r="A83" s="2" t="s">
        <v>4</v>
      </c>
      <c r="B83" s="2" t="s">
        <v>951</v>
      </c>
      <c r="C83" s="2" t="s">
        <v>12</v>
      </c>
      <c r="D83" s="2" t="s">
        <v>883</v>
      </c>
      <c r="E83" s="2">
        <v>6</v>
      </c>
      <c r="F83" s="3">
        <v>2</v>
      </c>
      <c r="G83" s="2">
        <v>30</v>
      </c>
      <c r="H83" s="8">
        <v>2</v>
      </c>
      <c r="J83" s="4">
        <v>2</v>
      </c>
      <c r="K83" s="2" t="str">
        <f t="shared" si="1"/>
        <v>resp-correct</v>
      </c>
      <c r="L83" s="2" t="s">
        <v>46</v>
      </c>
    </row>
    <row r="84" spans="1:12" x14ac:dyDescent="0.2">
      <c r="A84" s="2" t="s">
        <v>4</v>
      </c>
      <c r="B84" s="2" t="s">
        <v>951</v>
      </c>
      <c r="C84" s="2" t="s">
        <v>12</v>
      </c>
      <c r="D84" s="2" t="s">
        <v>884</v>
      </c>
      <c r="E84" s="2">
        <v>6</v>
      </c>
      <c r="F84" s="3">
        <v>3</v>
      </c>
      <c r="G84" s="2">
        <v>31</v>
      </c>
      <c r="H84" s="8">
        <v>2</v>
      </c>
      <c r="J84" s="4">
        <v>4</v>
      </c>
      <c r="K84" s="2" t="str">
        <f t="shared" si="1"/>
        <v>resp-inc</v>
      </c>
      <c r="L84" s="2" t="s">
        <v>42</v>
      </c>
    </row>
    <row r="85" spans="1:12" x14ac:dyDescent="0.2">
      <c r="A85" s="2" t="s">
        <v>4</v>
      </c>
      <c r="B85" s="2" t="s">
        <v>951</v>
      </c>
      <c r="C85" s="2" t="s">
        <v>12</v>
      </c>
      <c r="D85" s="2" t="s">
        <v>885</v>
      </c>
      <c r="E85" s="2">
        <v>6</v>
      </c>
      <c r="F85" s="3">
        <v>4</v>
      </c>
      <c r="G85" s="2">
        <v>32</v>
      </c>
      <c r="H85" s="8">
        <v>3</v>
      </c>
      <c r="J85" s="4">
        <v>1</v>
      </c>
      <c r="K85" s="2" t="str">
        <f t="shared" si="1"/>
        <v>resp-inc</v>
      </c>
      <c r="L85" s="4" t="s">
        <v>45</v>
      </c>
    </row>
    <row r="86" spans="1:12" x14ac:dyDescent="0.2">
      <c r="A86" s="2" t="s">
        <v>4</v>
      </c>
      <c r="B86" s="2" t="s">
        <v>951</v>
      </c>
      <c r="C86" s="2" t="s">
        <v>12</v>
      </c>
      <c r="D86" s="2" t="s">
        <v>886</v>
      </c>
      <c r="E86" s="2">
        <v>6</v>
      </c>
      <c r="F86" s="3">
        <v>5</v>
      </c>
      <c r="G86" s="2">
        <v>33</v>
      </c>
      <c r="H86" s="8">
        <v>2</v>
      </c>
      <c r="J86" s="4">
        <v>2</v>
      </c>
      <c r="K86" s="2" t="str">
        <f t="shared" si="1"/>
        <v>resp-correct</v>
      </c>
      <c r="L86" s="2" t="s">
        <v>46</v>
      </c>
    </row>
    <row r="87" spans="1:12" x14ac:dyDescent="0.2">
      <c r="A87" s="2" t="s">
        <v>4</v>
      </c>
      <c r="B87" s="2" t="s">
        <v>951</v>
      </c>
      <c r="C87" s="2" t="s">
        <v>12</v>
      </c>
      <c r="D87" s="2" t="s">
        <v>887</v>
      </c>
      <c r="E87" s="2">
        <v>6</v>
      </c>
      <c r="F87" s="3">
        <v>6</v>
      </c>
      <c r="G87" s="2">
        <v>34</v>
      </c>
      <c r="H87" s="8">
        <v>2</v>
      </c>
      <c r="J87" s="4">
        <v>2</v>
      </c>
      <c r="K87" s="2" t="str">
        <f t="shared" si="1"/>
        <v>resp-correct</v>
      </c>
      <c r="L87" s="2" t="s">
        <v>42</v>
      </c>
    </row>
    <row r="88" spans="1:12" x14ac:dyDescent="0.2">
      <c r="A88" s="2" t="s">
        <v>4</v>
      </c>
      <c r="B88" s="2" t="s">
        <v>951</v>
      </c>
      <c r="C88" s="2" t="s">
        <v>12</v>
      </c>
      <c r="D88" s="2" t="s">
        <v>888</v>
      </c>
      <c r="E88" s="2">
        <v>6</v>
      </c>
      <c r="F88" s="3">
        <v>7</v>
      </c>
      <c r="G88" s="2">
        <v>35</v>
      </c>
      <c r="H88" s="8">
        <v>3</v>
      </c>
      <c r="J88" s="4">
        <v>4</v>
      </c>
      <c r="K88" s="2" t="str">
        <f t="shared" si="1"/>
        <v>resp-inc</v>
      </c>
      <c r="L88" s="4" t="s">
        <v>43</v>
      </c>
    </row>
    <row r="89" spans="1:12" x14ac:dyDescent="0.2">
      <c r="A89" s="2" t="s">
        <v>4</v>
      </c>
      <c r="B89" s="2" t="s">
        <v>951</v>
      </c>
      <c r="C89" s="2" t="s">
        <v>93</v>
      </c>
      <c r="D89" s="2" t="s">
        <v>889</v>
      </c>
      <c r="E89" s="2">
        <v>7</v>
      </c>
      <c r="F89" s="3">
        <v>1</v>
      </c>
      <c r="G89" s="2">
        <v>36</v>
      </c>
      <c r="H89" s="8">
        <v>2</v>
      </c>
      <c r="J89" s="4">
        <v>4</v>
      </c>
      <c r="K89" s="2" t="str">
        <f t="shared" si="1"/>
        <v>resp-inc</v>
      </c>
      <c r="L89" s="2" t="s">
        <v>44</v>
      </c>
    </row>
    <row r="90" spans="1:12" x14ac:dyDescent="0.2">
      <c r="A90" s="2" t="s">
        <v>4</v>
      </c>
      <c r="B90" s="2" t="s">
        <v>951</v>
      </c>
      <c r="C90" s="2" t="s">
        <v>93</v>
      </c>
      <c r="D90" s="2" t="s">
        <v>890</v>
      </c>
      <c r="E90" s="2">
        <v>7</v>
      </c>
      <c r="F90" s="3">
        <v>2</v>
      </c>
      <c r="G90" s="2">
        <v>37</v>
      </c>
      <c r="H90" s="8">
        <v>3</v>
      </c>
      <c r="J90" s="4">
        <v>3</v>
      </c>
      <c r="K90" s="2" t="str">
        <f t="shared" si="1"/>
        <v>resp-correct</v>
      </c>
      <c r="L90" s="4" t="s">
        <v>45</v>
      </c>
    </row>
    <row r="91" spans="1:12" x14ac:dyDescent="0.2">
      <c r="A91" s="2" t="s">
        <v>4</v>
      </c>
      <c r="B91" s="2" t="s">
        <v>951</v>
      </c>
      <c r="C91" s="2" t="s">
        <v>93</v>
      </c>
      <c r="D91" s="2" t="s">
        <v>891</v>
      </c>
      <c r="E91" s="2">
        <v>7</v>
      </c>
      <c r="F91" s="3">
        <v>3</v>
      </c>
      <c r="G91" s="2">
        <v>38</v>
      </c>
      <c r="H91" s="8">
        <v>2</v>
      </c>
      <c r="J91" s="4">
        <v>2</v>
      </c>
      <c r="K91" s="2" t="str">
        <f t="shared" si="1"/>
        <v>resp-correct</v>
      </c>
      <c r="L91" s="2" t="s">
        <v>46</v>
      </c>
    </row>
    <row r="92" spans="1:12" x14ac:dyDescent="0.2">
      <c r="A92" s="2" t="s">
        <v>4</v>
      </c>
      <c r="B92" s="2" t="s">
        <v>951</v>
      </c>
      <c r="C92" s="2" t="s">
        <v>93</v>
      </c>
      <c r="D92" s="2" t="s">
        <v>892</v>
      </c>
      <c r="E92" s="2">
        <v>7</v>
      </c>
      <c r="F92" s="3">
        <v>4</v>
      </c>
      <c r="G92" s="2">
        <v>39</v>
      </c>
      <c r="H92" s="8">
        <v>2</v>
      </c>
      <c r="J92" s="4">
        <v>4</v>
      </c>
      <c r="K92" s="2" t="str">
        <f t="shared" si="1"/>
        <v>resp-inc</v>
      </c>
      <c r="L92" s="2" t="s">
        <v>46</v>
      </c>
    </row>
    <row r="93" spans="1:12" x14ac:dyDescent="0.2">
      <c r="A93" s="2" t="s">
        <v>4</v>
      </c>
      <c r="B93" s="2" t="s">
        <v>951</v>
      </c>
      <c r="C93" s="2" t="s">
        <v>93</v>
      </c>
      <c r="D93" s="2" t="s">
        <v>893</v>
      </c>
      <c r="E93" s="2">
        <v>7</v>
      </c>
      <c r="F93" s="3">
        <v>5</v>
      </c>
      <c r="G93" s="2">
        <v>40</v>
      </c>
      <c r="H93" s="8">
        <v>3</v>
      </c>
      <c r="J93" s="4">
        <v>2</v>
      </c>
      <c r="K93" s="2" t="str">
        <f t="shared" si="1"/>
        <v>resp-inc</v>
      </c>
      <c r="L93" s="4" t="s">
        <v>44</v>
      </c>
    </row>
    <row r="94" spans="1:12" x14ac:dyDescent="0.2">
      <c r="A94" s="2" t="s">
        <v>5</v>
      </c>
      <c r="B94" s="2" t="s">
        <v>952</v>
      </c>
      <c r="C94" s="2" t="s">
        <v>7</v>
      </c>
      <c r="D94" s="2" t="s">
        <v>894</v>
      </c>
      <c r="E94" s="2">
        <v>1</v>
      </c>
      <c r="F94" s="3">
        <v>1</v>
      </c>
      <c r="G94" s="2">
        <v>1</v>
      </c>
      <c r="H94" s="8">
        <v>3</v>
      </c>
      <c r="J94" s="4">
        <v>2</v>
      </c>
      <c r="K94" s="2" t="str">
        <f t="shared" si="1"/>
        <v>resp-inc</v>
      </c>
      <c r="L94" s="2" t="s">
        <v>51</v>
      </c>
    </row>
    <row r="95" spans="1:12" x14ac:dyDescent="0.2">
      <c r="A95" s="2" t="s">
        <v>5</v>
      </c>
      <c r="B95" s="2" t="s">
        <v>952</v>
      </c>
      <c r="C95" s="2" t="s">
        <v>7</v>
      </c>
      <c r="D95" s="2" t="s">
        <v>895</v>
      </c>
      <c r="E95" s="2">
        <v>1</v>
      </c>
      <c r="F95" s="3">
        <v>2</v>
      </c>
      <c r="G95" s="2">
        <v>2</v>
      </c>
      <c r="H95" s="8">
        <v>3</v>
      </c>
      <c r="J95" s="4">
        <v>1</v>
      </c>
      <c r="K95" s="2" t="str">
        <f t="shared" si="1"/>
        <v>resp-inc</v>
      </c>
      <c r="L95" s="2" t="s">
        <v>51</v>
      </c>
    </row>
    <row r="96" spans="1:12" x14ac:dyDescent="0.2">
      <c r="A96" s="2" t="s">
        <v>5</v>
      </c>
      <c r="B96" s="2" t="s">
        <v>952</v>
      </c>
      <c r="C96" s="2" t="s">
        <v>7</v>
      </c>
      <c r="D96" s="2" t="s">
        <v>896</v>
      </c>
      <c r="E96" s="2">
        <v>1</v>
      </c>
      <c r="F96" s="3">
        <v>3</v>
      </c>
      <c r="G96" s="2">
        <v>3</v>
      </c>
      <c r="H96" s="8">
        <v>3</v>
      </c>
      <c r="J96" s="4">
        <v>2</v>
      </c>
      <c r="K96" s="2" t="str">
        <f t="shared" si="1"/>
        <v>resp-inc</v>
      </c>
      <c r="L96" s="2" t="s">
        <v>52</v>
      </c>
    </row>
    <row r="97" spans="1:12" x14ac:dyDescent="0.2">
      <c r="A97" s="2" t="s">
        <v>5</v>
      </c>
      <c r="B97" s="2" t="s">
        <v>952</v>
      </c>
      <c r="C97" s="2" t="s">
        <v>7</v>
      </c>
      <c r="D97" s="2" t="s">
        <v>897</v>
      </c>
      <c r="E97" s="2">
        <v>1</v>
      </c>
      <c r="F97" s="3">
        <v>4</v>
      </c>
      <c r="G97" s="2">
        <v>4</v>
      </c>
      <c r="H97" s="8">
        <v>3</v>
      </c>
      <c r="J97" s="4">
        <v>2</v>
      </c>
      <c r="K97" s="2" t="str">
        <f t="shared" si="1"/>
        <v>resp-inc</v>
      </c>
      <c r="L97" s="2" t="s">
        <v>52</v>
      </c>
    </row>
    <row r="98" spans="1:12" x14ac:dyDescent="0.2">
      <c r="A98" s="2" t="s">
        <v>5</v>
      </c>
      <c r="B98" s="2" t="s">
        <v>952</v>
      </c>
      <c r="C98" s="2" t="s">
        <v>7</v>
      </c>
      <c r="D98" s="2" t="s">
        <v>898</v>
      </c>
      <c r="E98" s="2">
        <v>1</v>
      </c>
      <c r="F98" s="3">
        <v>5</v>
      </c>
      <c r="G98" s="2">
        <v>5</v>
      </c>
      <c r="H98" s="8">
        <v>3</v>
      </c>
      <c r="J98" s="4">
        <v>2</v>
      </c>
      <c r="K98" s="2" t="str">
        <f t="shared" si="1"/>
        <v>resp-inc</v>
      </c>
      <c r="L98" s="2" t="s">
        <v>52</v>
      </c>
    </row>
    <row r="99" spans="1:12" x14ac:dyDescent="0.2">
      <c r="A99" s="2" t="s">
        <v>5</v>
      </c>
      <c r="B99" s="2" t="s">
        <v>952</v>
      </c>
      <c r="C99" s="2" t="s">
        <v>7</v>
      </c>
      <c r="D99" s="2" t="s">
        <v>899</v>
      </c>
      <c r="E99" s="2">
        <v>1</v>
      </c>
      <c r="F99" s="3">
        <v>6</v>
      </c>
      <c r="G99" s="2">
        <v>6</v>
      </c>
      <c r="H99" s="8">
        <v>4</v>
      </c>
      <c r="J99" s="4">
        <v>1</v>
      </c>
      <c r="K99" s="2" t="str">
        <f t="shared" si="1"/>
        <v>resp-inc</v>
      </c>
      <c r="L99" s="2" t="s">
        <v>57</v>
      </c>
    </row>
    <row r="100" spans="1:12" x14ac:dyDescent="0.2">
      <c r="A100" s="2" t="s">
        <v>5</v>
      </c>
      <c r="B100" s="2" t="s">
        <v>952</v>
      </c>
      <c r="C100" s="2" t="s">
        <v>8</v>
      </c>
      <c r="D100" s="2" t="s">
        <v>900</v>
      </c>
      <c r="E100" s="2">
        <v>2</v>
      </c>
      <c r="F100" s="3">
        <v>1</v>
      </c>
      <c r="G100" s="2">
        <v>7</v>
      </c>
      <c r="H100" s="8">
        <v>4</v>
      </c>
      <c r="J100" s="4">
        <v>1</v>
      </c>
      <c r="K100" s="2" t="str">
        <f t="shared" si="1"/>
        <v>resp-inc</v>
      </c>
      <c r="L100" s="2" t="s">
        <v>48</v>
      </c>
    </row>
    <row r="101" spans="1:12" x14ac:dyDescent="0.2">
      <c r="A101" s="2" t="s">
        <v>5</v>
      </c>
      <c r="B101" s="2" t="s">
        <v>952</v>
      </c>
      <c r="C101" s="2" t="s">
        <v>8</v>
      </c>
      <c r="D101" s="2" t="s">
        <v>901</v>
      </c>
      <c r="E101" s="2">
        <v>2</v>
      </c>
      <c r="F101" s="3">
        <v>2</v>
      </c>
      <c r="G101" s="2">
        <v>8</v>
      </c>
      <c r="H101" s="8">
        <v>4</v>
      </c>
      <c r="J101" s="4">
        <v>2</v>
      </c>
      <c r="K101" s="2" t="str">
        <f t="shared" si="1"/>
        <v>resp-inc</v>
      </c>
      <c r="L101" s="2" t="s">
        <v>48</v>
      </c>
    </row>
    <row r="102" spans="1:12" x14ac:dyDescent="0.2">
      <c r="A102" s="2" t="s">
        <v>5</v>
      </c>
      <c r="B102" s="2" t="s">
        <v>952</v>
      </c>
      <c r="C102" s="2" t="s">
        <v>8</v>
      </c>
      <c r="D102" s="2" t="s">
        <v>902</v>
      </c>
      <c r="E102" s="2">
        <v>2</v>
      </c>
      <c r="F102" s="3">
        <v>3</v>
      </c>
      <c r="G102" s="2">
        <v>9</v>
      </c>
      <c r="H102" s="8">
        <v>4</v>
      </c>
      <c r="J102" s="4">
        <v>4</v>
      </c>
      <c r="K102" s="2" t="str">
        <f t="shared" si="1"/>
        <v>resp-correct</v>
      </c>
      <c r="L102" s="2" t="s">
        <v>48</v>
      </c>
    </row>
    <row r="103" spans="1:12" x14ac:dyDescent="0.2">
      <c r="A103" s="2" t="s">
        <v>5</v>
      </c>
      <c r="B103" s="2" t="s">
        <v>952</v>
      </c>
      <c r="C103" s="2" t="s">
        <v>8</v>
      </c>
      <c r="D103" s="2" t="s">
        <v>903</v>
      </c>
      <c r="E103" s="2">
        <v>2</v>
      </c>
      <c r="F103" s="3">
        <v>4</v>
      </c>
      <c r="G103" s="2">
        <v>10</v>
      </c>
      <c r="H103" s="8">
        <v>4</v>
      </c>
      <c r="J103" s="4">
        <v>2</v>
      </c>
      <c r="K103" s="2" t="str">
        <f t="shared" si="1"/>
        <v>resp-inc</v>
      </c>
      <c r="L103" s="2" t="s">
        <v>48</v>
      </c>
    </row>
    <row r="104" spans="1:12" x14ac:dyDescent="0.2">
      <c r="A104" s="2" t="s">
        <v>5</v>
      </c>
      <c r="B104" s="2" t="s">
        <v>952</v>
      </c>
      <c r="C104" s="2" t="s">
        <v>8</v>
      </c>
      <c r="D104" s="2" t="s">
        <v>904</v>
      </c>
      <c r="E104" s="2">
        <v>2</v>
      </c>
      <c r="F104" s="3">
        <v>5</v>
      </c>
      <c r="G104" s="2">
        <v>11</v>
      </c>
      <c r="H104" s="8">
        <v>1</v>
      </c>
      <c r="J104" s="4">
        <v>2</v>
      </c>
      <c r="K104" s="2" t="str">
        <f t="shared" si="1"/>
        <v>resp-inc</v>
      </c>
      <c r="L104" s="2" t="s">
        <v>48</v>
      </c>
    </row>
    <row r="105" spans="1:12" x14ac:dyDescent="0.2">
      <c r="A105" s="2" t="s">
        <v>5</v>
      </c>
      <c r="B105" s="2" t="s">
        <v>952</v>
      </c>
      <c r="C105" s="2" t="s">
        <v>6</v>
      </c>
      <c r="D105" s="2" t="s">
        <v>905</v>
      </c>
      <c r="E105" s="2">
        <v>3</v>
      </c>
      <c r="F105" s="3">
        <v>1</v>
      </c>
      <c r="G105" s="2">
        <v>12</v>
      </c>
      <c r="H105" s="8">
        <v>1</v>
      </c>
      <c r="J105" s="4">
        <v>1</v>
      </c>
      <c r="K105" s="2" t="str">
        <f t="shared" si="1"/>
        <v>resp-correct</v>
      </c>
      <c r="L105" s="2" t="s">
        <v>64</v>
      </c>
    </row>
    <row r="106" spans="1:12" x14ac:dyDescent="0.2">
      <c r="A106" s="2" t="s">
        <v>5</v>
      </c>
      <c r="B106" s="2" t="s">
        <v>952</v>
      </c>
      <c r="C106" s="2" t="s">
        <v>6</v>
      </c>
      <c r="D106" s="2" t="s">
        <v>906</v>
      </c>
      <c r="E106" s="2">
        <v>3</v>
      </c>
      <c r="F106" s="3">
        <v>2</v>
      </c>
      <c r="G106" s="2">
        <v>13</v>
      </c>
      <c r="H106" s="8">
        <v>1</v>
      </c>
      <c r="J106" s="4">
        <v>1</v>
      </c>
      <c r="K106" s="2" t="str">
        <f t="shared" si="1"/>
        <v>resp-correct</v>
      </c>
      <c r="L106" s="2" t="s">
        <v>56</v>
      </c>
    </row>
    <row r="107" spans="1:12" x14ac:dyDescent="0.2">
      <c r="A107" s="2" t="s">
        <v>5</v>
      </c>
      <c r="B107" s="2" t="s">
        <v>952</v>
      </c>
      <c r="C107" s="2" t="s">
        <v>6</v>
      </c>
      <c r="D107" s="2" t="s">
        <v>907</v>
      </c>
      <c r="E107" s="2">
        <v>3</v>
      </c>
      <c r="F107" s="3">
        <v>3</v>
      </c>
      <c r="G107" s="2">
        <v>14</v>
      </c>
      <c r="H107" s="8">
        <v>1</v>
      </c>
      <c r="J107" s="4">
        <v>4</v>
      </c>
      <c r="K107" s="2" t="str">
        <f t="shared" si="1"/>
        <v>resp-inc</v>
      </c>
      <c r="L107" s="2" t="s">
        <v>129</v>
      </c>
    </row>
    <row r="108" spans="1:12" x14ac:dyDescent="0.2">
      <c r="A108" s="2" t="s">
        <v>5</v>
      </c>
      <c r="B108" s="2" t="s">
        <v>952</v>
      </c>
      <c r="C108" s="2" t="s">
        <v>6</v>
      </c>
      <c r="D108" s="2" t="s">
        <v>908</v>
      </c>
      <c r="E108" s="2">
        <v>3</v>
      </c>
      <c r="F108" s="3">
        <v>4</v>
      </c>
      <c r="G108" s="2">
        <v>15</v>
      </c>
      <c r="H108" s="8">
        <v>2</v>
      </c>
      <c r="J108" s="4">
        <v>2</v>
      </c>
      <c r="K108" s="2" t="str">
        <f t="shared" si="1"/>
        <v>resp-correct</v>
      </c>
      <c r="L108" s="2" t="s">
        <v>52</v>
      </c>
    </row>
    <row r="109" spans="1:12" x14ac:dyDescent="0.2">
      <c r="A109" s="2" t="s">
        <v>5</v>
      </c>
      <c r="B109" s="2" t="s">
        <v>952</v>
      </c>
      <c r="C109" s="2" t="s">
        <v>9</v>
      </c>
      <c r="D109" s="2" t="s">
        <v>909</v>
      </c>
      <c r="E109" s="2">
        <v>4</v>
      </c>
      <c r="F109" s="3">
        <v>1</v>
      </c>
      <c r="G109" s="2">
        <v>16</v>
      </c>
      <c r="H109" s="8">
        <v>2</v>
      </c>
      <c r="J109" s="4">
        <v>1</v>
      </c>
      <c r="K109" s="2" t="str">
        <f t="shared" si="1"/>
        <v>resp-inc</v>
      </c>
      <c r="L109" s="2" t="s">
        <v>130</v>
      </c>
    </row>
    <row r="110" spans="1:12" x14ac:dyDescent="0.2">
      <c r="A110" s="2" t="s">
        <v>5</v>
      </c>
      <c r="B110" s="2" t="s">
        <v>952</v>
      </c>
      <c r="C110" s="2" t="s">
        <v>9</v>
      </c>
      <c r="D110" s="2" t="s">
        <v>910</v>
      </c>
      <c r="E110" s="2">
        <v>4</v>
      </c>
      <c r="F110" s="3">
        <v>2</v>
      </c>
      <c r="G110" s="2">
        <v>17</v>
      </c>
      <c r="H110" s="8">
        <v>2</v>
      </c>
      <c r="J110" s="4">
        <v>3</v>
      </c>
      <c r="K110" s="2" t="str">
        <f t="shared" si="1"/>
        <v>resp-inc</v>
      </c>
      <c r="L110" s="2" t="s">
        <v>64</v>
      </c>
    </row>
    <row r="111" spans="1:12" x14ac:dyDescent="0.2">
      <c r="A111" s="2" t="s">
        <v>5</v>
      </c>
      <c r="B111" s="2" t="s">
        <v>952</v>
      </c>
      <c r="C111" s="2" t="s">
        <v>9</v>
      </c>
      <c r="D111" s="2" t="s">
        <v>911</v>
      </c>
      <c r="E111" s="2">
        <v>4</v>
      </c>
      <c r="F111" s="3">
        <v>3</v>
      </c>
      <c r="G111" s="2">
        <v>18</v>
      </c>
      <c r="H111" s="8">
        <v>2</v>
      </c>
      <c r="J111" s="4">
        <v>2</v>
      </c>
      <c r="K111" s="2" t="str">
        <f t="shared" si="1"/>
        <v>resp-correct</v>
      </c>
      <c r="L111" s="2" t="s">
        <v>57</v>
      </c>
    </row>
    <row r="112" spans="1:12" x14ac:dyDescent="0.2">
      <c r="A112" s="2" t="s">
        <v>5</v>
      </c>
      <c r="B112" s="2" t="s">
        <v>952</v>
      </c>
      <c r="C112" s="2" t="s">
        <v>9</v>
      </c>
      <c r="D112" s="2" t="s">
        <v>912</v>
      </c>
      <c r="E112" s="2">
        <v>4</v>
      </c>
      <c r="F112" s="3">
        <v>4</v>
      </c>
      <c r="G112" s="2">
        <v>19</v>
      </c>
      <c r="H112" s="8">
        <v>2</v>
      </c>
      <c r="J112" s="4">
        <v>4</v>
      </c>
      <c r="K112" s="2" t="str">
        <f t="shared" si="1"/>
        <v>resp-inc</v>
      </c>
      <c r="L112" s="2" t="s">
        <v>130</v>
      </c>
    </row>
    <row r="113" spans="1:12" x14ac:dyDescent="0.2">
      <c r="A113" s="2" t="s">
        <v>5</v>
      </c>
      <c r="B113" s="2" t="s">
        <v>952</v>
      </c>
      <c r="C113" s="2" t="s">
        <v>9</v>
      </c>
      <c r="D113" s="2" t="s">
        <v>943</v>
      </c>
      <c r="E113" s="2">
        <v>4</v>
      </c>
      <c r="F113" s="3">
        <v>5</v>
      </c>
      <c r="G113" s="2">
        <v>20</v>
      </c>
      <c r="H113" s="8">
        <v>1</v>
      </c>
      <c r="J113" s="4">
        <v>3</v>
      </c>
      <c r="K113" s="2" t="str">
        <f t="shared" si="1"/>
        <v>resp-inc</v>
      </c>
      <c r="L113" s="2" t="s">
        <v>130</v>
      </c>
    </row>
    <row r="114" spans="1:12" x14ac:dyDescent="0.2">
      <c r="A114" s="2" t="s">
        <v>5</v>
      </c>
      <c r="B114" s="2" t="s">
        <v>952</v>
      </c>
      <c r="C114" s="2" t="s">
        <v>10</v>
      </c>
      <c r="D114" s="2" t="s">
        <v>913</v>
      </c>
      <c r="E114" s="2">
        <v>5</v>
      </c>
      <c r="F114" s="3">
        <v>1</v>
      </c>
      <c r="G114" s="2">
        <v>21</v>
      </c>
      <c r="H114" s="8">
        <v>2</v>
      </c>
      <c r="J114" s="4">
        <v>1</v>
      </c>
      <c r="K114" s="2" t="str">
        <f t="shared" si="1"/>
        <v>resp-inc</v>
      </c>
      <c r="L114" s="2" t="s">
        <v>129</v>
      </c>
    </row>
    <row r="115" spans="1:12" x14ac:dyDescent="0.2">
      <c r="A115" s="2" t="s">
        <v>5</v>
      </c>
      <c r="B115" s="2" t="s">
        <v>952</v>
      </c>
      <c r="C115" s="2" t="s">
        <v>10</v>
      </c>
      <c r="D115" s="2" t="s">
        <v>914</v>
      </c>
      <c r="E115" s="2">
        <v>5</v>
      </c>
      <c r="F115" s="3">
        <v>2</v>
      </c>
      <c r="G115" s="2">
        <v>22</v>
      </c>
      <c r="H115" s="8">
        <v>1</v>
      </c>
      <c r="J115" s="4">
        <v>1</v>
      </c>
      <c r="K115" s="2" t="str">
        <f t="shared" si="1"/>
        <v>resp-correct</v>
      </c>
      <c r="L115" s="2" t="s">
        <v>129</v>
      </c>
    </row>
    <row r="116" spans="1:12" x14ac:dyDescent="0.2">
      <c r="A116" s="2" t="s">
        <v>5</v>
      </c>
      <c r="B116" s="2" t="s">
        <v>952</v>
      </c>
      <c r="C116" s="2" t="s">
        <v>10</v>
      </c>
      <c r="D116" s="2" t="s">
        <v>915</v>
      </c>
      <c r="E116" s="2">
        <v>5</v>
      </c>
      <c r="F116" s="3">
        <v>3</v>
      </c>
      <c r="G116" s="2">
        <v>23</v>
      </c>
      <c r="H116" s="8">
        <v>1</v>
      </c>
      <c r="J116" s="4">
        <v>4</v>
      </c>
      <c r="K116" s="2" t="str">
        <f t="shared" si="1"/>
        <v>resp-inc</v>
      </c>
      <c r="L116" s="2" t="s">
        <v>128</v>
      </c>
    </row>
    <row r="117" spans="1:12" x14ac:dyDescent="0.2">
      <c r="A117" s="2" t="s">
        <v>5</v>
      </c>
      <c r="B117" s="2" t="s">
        <v>952</v>
      </c>
      <c r="C117" s="2" t="s">
        <v>10</v>
      </c>
      <c r="D117" s="2" t="s">
        <v>916</v>
      </c>
      <c r="E117" s="2">
        <v>5</v>
      </c>
      <c r="F117" s="3">
        <v>4</v>
      </c>
      <c r="G117" s="2">
        <v>24</v>
      </c>
      <c r="H117" s="8">
        <v>2</v>
      </c>
      <c r="J117" s="4">
        <v>3</v>
      </c>
      <c r="K117" s="2" t="str">
        <f t="shared" si="1"/>
        <v>resp-inc</v>
      </c>
      <c r="L117" s="2" t="s">
        <v>129</v>
      </c>
    </row>
    <row r="118" spans="1:12" x14ac:dyDescent="0.2">
      <c r="A118" s="2" t="s">
        <v>5</v>
      </c>
      <c r="B118" s="2" t="s">
        <v>952</v>
      </c>
      <c r="C118" s="2" t="s">
        <v>10</v>
      </c>
      <c r="D118" s="2" t="s">
        <v>917</v>
      </c>
      <c r="E118" s="2">
        <v>5</v>
      </c>
      <c r="F118" s="3">
        <v>5</v>
      </c>
      <c r="G118" s="2">
        <v>25</v>
      </c>
      <c r="H118" s="8">
        <v>2</v>
      </c>
      <c r="J118" s="4">
        <v>1</v>
      </c>
      <c r="K118" s="2" t="str">
        <f t="shared" si="1"/>
        <v>resp-inc</v>
      </c>
      <c r="L118" s="2" t="s">
        <v>129</v>
      </c>
    </row>
    <row r="119" spans="1:12" x14ac:dyDescent="0.2">
      <c r="A119" s="2" t="s">
        <v>5</v>
      </c>
      <c r="B119" s="2" t="s">
        <v>952</v>
      </c>
      <c r="C119" s="2" t="s">
        <v>6</v>
      </c>
      <c r="D119" s="2" t="s">
        <v>918</v>
      </c>
      <c r="E119" s="2">
        <v>6</v>
      </c>
      <c r="F119" s="3">
        <v>1</v>
      </c>
      <c r="G119" s="2">
        <v>26</v>
      </c>
      <c r="H119" s="8">
        <v>2</v>
      </c>
      <c r="J119" s="4">
        <v>4</v>
      </c>
      <c r="K119" s="2" t="str">
        <f t="shared" si="1"/>
        <v>resp-inc</v>
      </c>
      <c r="L119" s="2" t="s">
        <v>64</v>
      </c>
    </row>
    <row r="120" spans="1:12" x14ac:dyDescent="0.2">
      <c r="A120" s="2" t="s">
        <v>5</v>
      </c>
      <c r="B120" s="2" t="s">
        <v>952</v>
      </c>
      <c r="C120" s="2" t="s">
        <v>6</v>
      </c>
      <c r="D120" s="2" t="s">
        <v>919</v>
      </c>
      <c r="E120" s="2">
        <v>6</v>
      </c>
      <c r="F120" s="3">
        <v>2</v>
      </c>
      <c r="G120" s="2">
        <v>27</v>
      </c>
      <c r="H120" s="8">
        <v>2</v>
      </c>
      <c r="J120" s="4">
        <v>3</v>
      </c>
      <c r="K120" s="2" t="str">
        <f t="shared" si="1"/>
        <v>resp-inc</v>
      </c>
      <c r="L120" s="2" t="s">
        <v>126</v>
      </c>
    </row>
    <row r="121" spans="1:12" x14ac:dyDescent="0.2">
      <c r="A121" s="2" t="s">
        <v>5</v>
      </c>
      <c r="B121" s="2" t="s">
        <v>952</v>
      </c>
      <c r="C121" s="2" t="s">
        <v>6</v>
      </c>
      <c r="D121" s="2" t="s">
        <v>920</v>
      </c>
      <c r="E121" s="2">
        <v>6</v>
      </c>
      <c r="F121" s="3">
        <v>3</v>
      </c>
      <c r="G121" s="2">
        <v>28</v>
      </c>
      <c r="H121" s="8">
        <v>2</v>
      </c>
      <c r="J121" s="4">
        <v>1</v>
      </c>
      <c r="K121" s="2" t="str">
        <f t="shared" si="1"/>
        <v>resp-inc</v>
      </c>
      <c r="L121" s="2" t="s">
        <v>127</v>
      </c>
    </row>
    <row r="122" spans="1:12" x14ac:dyDescent="0.2">
      <c r="A122" s="2" t="s">
        <v>5</v>
      </c>
      <c r="B122" s="2" t="s">
        <v>952</v>
      </c>
      <c r="C122" s="2" t="s">
        <v>6</v>
      </c>
      <c r="D122" s="2" t="s">
        <v>921</v>
      </c>
      <c r="E122" s="2">
        <v>6</v>
      </c>
      <c r="F122" s="3">
        <v>4</v>
      </c>
      <c r="G122" s="2">
        <v>29</v>
      </c>
      <c r="H122" s="8">
        <v>2</v>
      </c>
      <c r="J122" s="4">
        <v>2</v>
      </c>
      <c r="K122" s="2" t="str">
        <f t="shared" si="1"/>
        <v>resp-correct</v>
      </c>
      <c r="L122" s="2" t="s">
        <v>47</v>
      </c>
    </row>
    <row r="123" spans="1:12" x14ac:dyDescent="0.2">
      <c r="A123" s="2" t="s">
        <v>5</v>
      </c>
      <c r="B123" s="2" t="s">
        <v>952</v>
      </c>
      <c r="C123" s="2" t="s">
        <v>11</v>
      </c>
      <c r="D123" s="18" t="s">
        <v>922</v>
      </c>
      <c r="E123" s="18">
        <v>7</v>
      </c>
      <c r="F123" s="19">
        <v>1</v>
      </c>
      <c r="G123" s="18">
        <v>30</v>
      </c>
      <c r="H123" s="8">
        <v>3</v>
      </c>
      <c r="J123" s="4">
        <v>4</v>
      </c>
      <c r="K123" s="2" t="str">
        <f t="shared" si="1"/>
        <v>resp-inc</v>
      </c>
      <c r="L123" s="2" t="s">
        <v>57</v>
      </c>
    </row>
    <row r="124" spans="1:12" x14ac:dyDescent="0.2">
      <c r="A124" s="2" t="s">
        <v>5</v>
      </c>
      <c r="B124" s="2" t="s">
        <v>952</v>
      </c>
      <c r="C124" s="2" t="s">
        <v>11</v>
      </c>
      <c r="D124" s="18" t="s">
        <v>923</v>
      </c>
      <c r="E124" s="18">
        <v>7</v>
      </c>
      <c r="F124" s="19">
        <v>2</v>
      </c>
      <c r="G124" s="18">
        <v>31</v>
      </c>
      <c r="H124" s="8">
        <v>3</v>
      </c>
      <c r="J124" s="4">
        <v>4</v>
      </c>
      <c r="K124" s="2" t="str">
        <f t="shared" si="1"/>
        <v>resp-inc</v>
      </c>
      <c r="L124" s="2" t="s">
        <v>64</v>
      </c>
    </row>
    <row r="125" spans="1:12" x14ac:dyDescent="0.2">
      <c r="A125" s="2" t="s">
        <v>5</v>
      </c>
      <c r="B125" s="2" t="s">
        <v>952</v>
      </c>
      <c r="C125" s="2" t="s">
        <v>11</v>
      </c>
      <c r="D125" s="18" t="s">
        <v>924</v>
      </c>
      <c r="E125" s="18">
        <v>7</v>
      </c>
      <c r="F125" s="19">
        <v>3</v>
      </c>
      <c r="G125" s="18">
        <v>32</v>
      </c>
      <c r="H125" s="8">
        <v>3</v>
      </c>
      <c r="J125" s="4">
        <v>3</v>
      </c>
      <c r="K125" s="2" t="str">
        <f t="shared" si="1"/>
        <v>resp-correct</v>
      </c>
      <c r="L125" s="2" t="s">
        <v>51</v>
      </c>
    </row>
    <row r="126" spans="1:12" x14ac:dyDescent="0.2">
      <c r="A126" s="2" t="s">
        <v>5</v>
      </c>
      <c r="B126" s="2" t="s">
        <v>952</v>
      </c>
      <c r="C126" s="2" t="s">
        <v>11</v>
      </c>
      <c r="D126" s="18" t="s">
        <v>925</v>
      </c>
      <c r="E126" s="18">
        <v>7</v>
      </c>
      <c r="F126" s="19">
        <v>4</v>
      </c>
      <c r="G126" s="18">
        <v>33</v>
      </c>
      <c r="H126" s="8">
        <v>3</v>
      </c>
      <c r="J126" s="4">
        <v>1</v>
      </c>
      <c r="K126" s="2" t="str">
        <f t="shared" si="1"/>
        <v>resp-inc</v>
      </c>
      <c r="L126" s="2" t="s">
        <v>51</v>
      </c>
    </row>
    <row r="127" spans="1:12" x14ac:dyDescent="0.2">
      <c r="A127" s="2" t="s">
        <v>5</v>
      </c>
      <c r="B127" s="2" t="s">
        <v>952</v>
      </c>
      <c r="C127" s="2" t="s">
        <v>11</v>
      </c>
      <c r="D127" s="18" t="s">
        <v>925</v>
      </c>
      <c r="E127" s="18">
        <v>7</v>
      </c>
      <c r="F127" s="19">
        <v>5</v>
      </c>
      <c r="G127" s="18">
        <v>34</v>
      </c>
      <c r="H127" s="8">
        <v>3</v>
      </c>
      <c r="J127" s="4">
        <v>4</v>
      </c>
      <c r="K127" s="2" t="str">
        <f t="shared" si="1"/>
        <v>resp-inc</v>
      </c>
      <c r="L127" s="2" t="s">
        <v>48</v>
      </c>
    </row>
    <row r="128" spans="1:12" x14ac:dyDescent="0.2">
      <c r="A128" s="2" t="s">
        <v>5</v>
      </c>
      <c r="B128" s="2" t="s">
        <v>952</v>
      </c>
      <c r="C128" s="2" t="s">
        <v>11</v>
      </c>
      <c r="D128" s="18" t="s">
        <v>925</v>
      </c>
      <c r="E128" s="18">
        <v>7</v>
      </c>
      <c r="F128" s="19">
        <v>6</v>
      </c>
      <c r="G128" s="18">
        <v>35</v>
      </c>
      <c r="H128" s="8">
        <v>3</v>
      </c>
      <c r="J128" s="4">
        <v>1</v>
      </c>
      <c r="K128" s="2" t="str">
        <f t="shared" si="1"/>
        <v>resp-inc</v>
      </c>
      <c r="L128" s="2" t="s">
        <v>64</v>
      </c>
    </row>
    <row r="129" spans="1:12" x14ac:dyDescent="0.2">
      <c r="A129" s="2" t="s">
        <v>5</v>
      </c>
      <c r="B129" s="2" t="s">
        <v>952</v>
      </c>
      <c r="C129" s="2" t="s">
        <v>12</v>
      </c>
      <c r="D129" s="18" t="s">
        <v>926</v>
      </c>
      <c r="E129" s="18">
        <v>8</v>
      </c>
      <c r="F129" s="19">
        <v>1</v>
      </c>
      <c r="G129" s="18">
        <v>36</v>
      </c>
      <c r="H129" s="8">
        <v>4</v>
      </c>
      <c r="J129" s="4">
        <v>2</v>
      </c>
      <c r="K129" s="2" t="str">
        <f t="shared" si="1"/>
        <v>resp-inc</v>
      </c>
      <c r="L129" s="2" t="s">
        <v>64</v>
      </c>
    </row>
    <row r="130" spans="1:12" x14ac:dyDescent="0.2">
      <c r="A130" s="2" t="s">
        <v>5</v>
      </c>
      <c r="B130" s="2" t="s">
        <v>952</v>
      </c>
      <c r="C130" s="2" t="s">
        <v>12</v>
      </c>
      <c r="D130" s="18" t="s">
        <v>927</v>
      </c>
      <c r="E130" s="18">
        <v>8</v>
      </c>
      <c r="F130" s="19">
        <v>2</v>
      </c>
      <c r="G130" s="18">
        <v>37</v>
      </c>
      <c r="H130" s="8">
        <v>4</v>
      </c>
      <c r="J130" s="4">
        <v>4</v>
      </c>
      <c r="K130" s="2" t="str">
        <f t="shared" si="1"/>
        <v>resp-correct</v>
      </c>
      <c r="L130" s="2" t="s">
        <v>137</v>
      </c>
    </row>
    <row r="131" spans="1:12" x14ac:dyDescent="0.2">
      <c r="A131" s="2" t="s">
        <v>5</v>
      </c>
      <c r="B131" s="2" t="s">
        <v>952</v>
      </c>
      <c r="C131" s="2" t="s">
        <v>12</v>
      </c>
      <c r="D131" s="2" t="s">
        <v>928</v>
      </c>
      <c r="E131" s="2">
        <v>8</v>
      </c>
      <c r="F131" s="3">
        <v>3</v>
      </c>
      <c r="G131" s="2">
        <v>38</v>
      </c>
      <c r="H131" s="8">
        <v>4</v>
      </c>
      <c r="J131" s="4">
        <v>4</v>
      </c>
      <c r="K131" s="2" t="str">
        <f t="shared" si="1"/>
        <v>resp-correct</v>
      </c>
      <c r="L131" s="2" t="s">
        <v>54</v>
      </c>
    </row>
    <row r="132" spans="1:12" x14ac:dyDescent="0.2">
      <c r="A132" s="2" t="s">
        <v>5</v>
      </c>
      <c r="B132" s="2" t="s">
        <v>952</v>
      </c>
      <c r="C132" s="2" t="s">
        <v>12</v>
      </c>
      <c r="D132" s="2" t="s">
        <v>929</v>
      </c>
      <c r="E132" s="2">
        <v>8</v>
      </c>
      <c r="F132" s="3">
        <v>4</v>
      </c>
      <c r="G132" s="2">
        <v>39</v>
      </c>
      <c r="H132" s="8">
        <v>4</v>
      </c>
      <c r="J132" s="4">
        <v>2</v>
      </c>
      <c r="K132" s="2" t="str">
        <f t="shared" si="1"/>
        <v>resp-inc</v>
      </c>
      <c r="L132" s="2" t="s">
        <v>50</v>
      </c>
    </row>
    <row r="133" spans="1:12" x14ac:dyDescent="0.2">
      <c r="A133" s="2" t="s">
        <v>5</v>
      </c>
      <c r="B133" s="2" t="s">
        <v>952</v>
      </c>
      <c r="C133" s="2" t="s">
        <v>12</v>
      </c>
      <c r="D133" s="2" t="s">
        <v>930</v>
      </c>
      <c r="E133" s="2">
        <v>8</v>
      </c>
      <c r="F133" s="3">
        <v>5</v>
      </c>
      <c r="G133" s="2">
        <v>40</v>
      </c>
      <c r="H133" s="8">
        <v>3</v>
      </c>
      <c r="J133" s="4">
        <v>2</v>
      </c>
      <c r="K133" s="2" t="str">
        <f t="shared" si="1"/>
        <v>resp-inc</v>
      </c>
      <c r="L133" s="2" t="s">
        <v>137</v>
      </c>
    </row>
    <row r="134" spans="1:12" x14ac:dyDescent="0.2">
      <c r="A134" s="2" t="s">
        <v>5</v>
      </c>
      <c r="B134" s="2" t="s">
        <v>952</v>
      </c>
      <c r="C134" s="2" t="s">
        <v>12</v>
      </c>
      <c r="D134" s="2" t="s">
        <v>931</v>
      </c>
      <c r="E134" s="2">
        <v>8</v>
      </c>
      <c r="F134" s="3">
        <v>6</v>
      </c>
      <c r="G134" s="2">
        <v>41</v>
      </c>
      <c r="H134" s="8">
        <v>3</v>
      </c>
      <c r="J134" s="4">
        <v>1</v>
      </c>
      <c r="K134" s="2" t="str">
        <f t="shared" si="1"/>
        <v>resp-inc</v>
      </c>
      <c r="L134" s="2" t="s">
        <v>137</v>
      </c>
    </row>
    <row r="135" spans="1:12" x14ac:dyDescent="0.2">
      <c r="A135" s="2" t="s">
        <v>5</v>
      </c>
      <c r="B135" s="2" t="s">
        <v>952</v>
      </c>
      <c r="C135" s="2" t="s">
        <v>12</v>
      </c>
      <c r="D135" s="2" t="s">
        <v>932</v>
      </c>
      <c r="E135" s="2">
        <v>8</v>
      </c>
      <c r="F135" s="3">
        <v>7</v>
      </c>
      <c r="G135" s="2">
        <v>42</v>
      </c>
      <c r="H135" s="8">
        <v>3</v>
      </c>
      <c r="J135" s="4">
        <v>2</v>
      </c>
      <c r="K135" s="2" t="str">
        <f t="shared" si="1"/>
        <v>resp-inc</v>
      </c>
      <c r="L135" s="2" t="s">
        <v>64</v>
      </c>
    </row>
    <row r="136" spans="1:12" x14ac:dyDescent="0.2">
      <c r="A136" s="2" t="s">
        <v>5</v>
      </c>
      <c r="B136" s="2" t="s">
        <v>952</v>
      </c>
      <c r="C136" s="2" t="s">
        <v>93</v>
      </c>
      <c r="D136" s="2" t="s">
        <v>933</v>
      </c>
      <c r="E136" s="2">
        <v>9</v>
      </c>
      <c r="F136" s="3">
        <v>1</v>
      </c>
      <c r="G136" s="2">
        <v>43</v>
      </c>
      <c r="H136" s="8">
        <v>3</v>
      </c>
      <c r="J136" s="4">
        <v>2</v>
      </c>
      <c r="K136" s="2" t="str">
        <f t="shared" si="1"/>
        <v>resp-inc</v>
      </c>
      <c r="L136" s="2" t="s">
        <v>64</v>
      </c>
    </row>
    <row r="137" spans="1:12" x14ac:dyDescent="0.2">
      <c r="A137" s="2" t="s">
        <v>5</v>
      </c>
      <c r="B137" s="2" t="s">
        <v>952</v>
      </c>
      <c r="C137" s="2" t="s">
        <v>93</v>
      </c>
      <c r="D137" s="2" t="s">
        <v>934</v>
      </c>
      <c r="E137" s="2">
        <v>9</v>
      </c>
      <c r="F137" s="3">
        <v>2</v>
      </c>
      <c r="G137" s="2">
        <v>44</v>
      </c>
      <c r="H137" s="8">
        <v>3</v>
      </c>
      <c r="J137" s="4">
        <v>1</v>
      </c>
      <c r="K137" s="2" t="str">
        <f t="shared" si="1"/>
        <v>resp-inc</v>
      </c>
      <c r="L137" s="2" t="s">
        <v>47</v>
      </c>
    </row>
    <row r="138" spans="1:12" x14ac:dyDescent="0.2">
      <c r="A138" s="2" t="s">
        <v>5</v>
      </c>
      <c r="B138" s="2" t="s">
        <v>952</v>
      </c>
      <c r="C138" s="2" t="s">
        <v>93</v>
      </c>
      <c r="D138" s="2" t="s">
        <v>935</v>
      </c>
      <c r="E138" s="2">
        <v>9</v>
      </c>
      <c r="F138" s="3">
        <v>3</v>
      </c>
      <c r="G138" s="2">
        <v>45</v>
      </c>
      <c r="H138" s="8">
        <v>3</v>
      </c>
      <c r="J138" s="4">
        <v>3</v>
      </c>
      <c r="K138" s="2" t="str">
        <f t="shared" si="1"/>
        <v>resp-correct</v>
      </c>
      <c r="L138" s="2" t="s">
        <v>52</v>
      </c>
    </row>
    <row r="139" spans="1:12" x14ac:dyDescent="0.2">
      <c r="A139" s="2" t="s">
        <v>5</v>
      </c>
      <c r="B139" s="2" t="s">
        <v>952</v>
      </c>
      <c r="C139" s="2" t="s">
        <v>93</v>
      </c>
      <c r="D139" s="2" t="s">
        <v>936</v>
      </c>
      <c r="E139" s="2">
        <v>9</v>
      </c>
      <c r="F139" s="3">
        <v>4</v>
      </c>
      <c r="G139" s="2">
        <v>46</v>
      </c>
      <c r="H139" s="8">
        <v>4</v>
      </c>
      <c r="J139" s="4">
        <v>4</v>
      </c>
      <c r="K139" s="2" t="str">
        <f t="shared" si="1"/>
        <v>resp-correct</v>
      </c>
      <c r="L139" s="2" t="s">
        <v>47</v>
      </c>
    </row>
    <row r="140" spans="1:12" x14ac:dyDescent="0.2">
      <c r="A140" s="2" t="s">
        <v>5</v>
      </c>
      <c r="B140" s="2" t="s">
        <v>952</v>
      </c>
      <c r="C140" s="2" t="s">
        <v>93</v>
      </c>
      <c r="D140" s="2" t="s">
        <v>937</v>
      </c>
      <c r="E140" s="2">
        <v>9</v>
      </c>
      <c r="F140" s="3">
        <v>5</v>
      </c>
      <c r="G140" s="2">
        <v>47</v>
      </c>
      <c r="H140" s="8">
        <v>4</v>
      </c>
      <c r="J140" s="4">
        <v>4</v>
      </c>
      <c r="K140" s="2" t="str">
        <f t="shared" si="1"/>
        <v>resp-correct</v>
      </c>
      <c r="L140" s="2" t="s">
        <v>47</v>
      </c>
    </row>
    <row r="141" spans="1:12" x14ac:dyDescent="0.2">
      <c r="A141" s="2" t="s">
        <v>5</v>
      </c>
      <c r="B141" s="2" t="s">
        <v>952</v>
      </c>
      <c r="C141" s="2" t="s">
        <v>6</v>
      </c>
      <c r="D141" s="2" t="s">
        <v>938</v>
      </c>
      <c r="E141" s="2">
        <v>10</v>
      </c>
      <c r="F141" s="3">
        <v>1</v>
      </c>
      <c r="G141" s="2">
        <v>48</v>
      </c>
      <c r="H141" s="8">
        <v>4</v>
      </c>
      <c r="J141" s="4">
        <v>1</v>
      </c>
      <c r="K141" s="2" t="str">
        <f t="shared" si="1"/>
        <v>resp-inc</v>
      </c>
      <c r="L141" s="2" t="s">
        <v>50</v>
      </c>
    </row>
    <row r="142" spans="1:12" x14ac:dyDescent="0.2">
      <c r="A142" s="2" t="s">
        <v>5</v>
      </c>
      <c r="B142" s="2" t="s">
        <v>952</v>
      </c>
      <c r="C142" s="2" t="s">
        <v>6</v>
      </c>
      <c r="D142" s="2" t="s">
        <v>939</v>
      </c>
      <c r="E142" s="2">
        <v>10</v>
      </c>
      <c r="F142" s="3">
        <v>2</v>
      </c>
      <c r="G142" s="2">
        <v>49</v>
      </c>
      <c r="H142" s="8">
        <v>4</v>
      </c>
      <c r="J142" s="4">
        <v>2</v>
      </c>
      <c r="K142" s="2" t="str">
        <f t="shared" si="1"/>
        <v>resp-inc</v>
      </c>
      <c r="L142" s="2" t="s">
        <v>49</v>
      </c>
    </row>
    <row r="143" spans="1:12" x14ac:dyDescent="0.2">
      <c r="A143" s="2" t="s">
        <v>5</v>
      </c>
      <c r="B143" s="2" t="s">
        <v>952</v>
      </c>
      <c r="C143" s="2" t="s">
        <v>6</v>
      </c>
      <c r="D143" s="2" t="s">
        <v>940</v>
      </c>
      <c r="E143" s="2">
        <v>10</v>
      </c>
      <c r="F143" s="3">
        <v>3</v>
      </c>
      <c r="G143" s="2">
        <v>50</v>
      </c>
      <c r="H143" s="8">
        <v>4</v>
      </c>
      <c r="J143" s="4">
        <v>2</v>
      </c>
      <c r="K143" s="2" t="str">
        <f t="shared" ref="K143:K145" si="2">IF(H143=J143,"resp-correct","resp-inc")</f>
        <v>resp-inc</v>
      </c>
      <c r="L143" s="2" t="s">
        <v>53</v>
      </c>
    </row>
    <row r="144" spans="1:12" x14ac:dyDescent="0.2">
      <c r="A144" s="2" t="s">
        <v>5</v>
      </c>
      <c r="B144" s="2" t="s">
        <v>952</v>
      </c>
      <c r="C144" s="2" t="s">
        <v>6</v>
      </c>
      <c r="D144" s="2" t="s">
        <v>941</v>
      </c>
      <c r="E144" s="2">
        <v>10</v>
      </c>
      <c r="F144" s="3">
        <v>4</v>
      </c>
      <c r="G144" s="2">
        <v>51</v>
      </c>
      <c r="H144" s="8">
        <v>4</v>
      </c>
      <c r="J144" s="4">
        <v>3</v>
      </c>
      <c r="K144" s="2" t="str">
        <f t="shared" si="2"/>
        <v>resp-inc</v>
      </c>
      <c r="L144" s="2" t="s">
        <v>55</v>
      </c>
    </row>
    <row r="145" spans="1:12" x14ac:dyDescent="0.2">
      <c r="A145" s="2" t="s">
        <v>5</v>
      </c>
      <c r="B145" s="2" t="s">
        <v>952</v>
      </c>
      <c r="C145" s="2" t="s">
        <v>6</v>
      </c>
      <c r="D145" s="2" t="s">
        <v>942</v>
      </c>
      <c r="E145" s="2">
        <v>10</v>
      </c>
      <c r="F145" s="3">
        <v>5</v>
      </c>
      <c r="G145" s="2">
        <v>52</v>
      </c>
      <c r="H145" s="8">
        <v>4</v>
      </c>
      <c r="J145" s="4">
        <v>2</v>
      </c>
      <c r="K145" s="2" t="str">
        <f t="shared" si="2"/>
        <v>resp-inc</v>
      </c>
      <c r="L145" s="2" t="s">
        <v>131</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workbookViewId="0">
      <selection activeCell="C1" sqref="C1"/>
    </sheetView>
  </sheetViews>
  <sheetFormatPr defaultColWidth="39.85546875" defaultRowHeight="11.25" x14ac:dyDescent="0.2"/>
  <cols>
    <col min="1" max="1" width="9" style="9" customWidth="1" collapsed="1"/>
    <col min="2" max="2" width="5.5703125" style="9" customWidth="1" collapsed="1"/>
    <col min="3" max="3" width="36.42578125" style="9" customWidth="1" collapsed="1"/>
    <col min="4" max="4" width="5.140625" style="9" customWidth="1" collapsed="1"/>
    <col min="5" max="16384" width="39.85546875" style="9" collapsed="1"/>
  </cols>
  <sheetData>
    <row r="1" spans="1:10" s="10" customFormat="1" ht="22.5" x14ac:dyDescent="0.2">
      <c r="A1" s="10" t="s">
        <v>2</v>
      </c>
      <c r="B1" s="10" t="s">
        <v>68</v>
      </c>
      <c r="C1" s="10" t="s">
        <v>84</v>
      </c>
      <c r="D1" s="10" t="s">
        <v>0</v>
      </c>
      <c r="E1" s="10" t="s">
        <v>1</v>
      </c>
      <c r="F1" s="10" t="s">
        <v>85</v>
      </c>
      <c r="G1" s="10" t="s">
        <v>86</v>
      </c>
      <c r="H1" s="10" t="s">
        <v>87</v>
      </c>
      <c r="I1" s="10" t="s">
        <v>88</v>
      </c>
      <c r="J1" s="10" t="s">
        <v>89</v>
      </c>
    </row>
    <row r="2" spans="1:10" x14ac:dyDescent="0.2">
      <c r="A2" s="2" t="s">
        <v>3</v>
      </c>
      <c r="B2" s="4">
        <v>1</v>
      </c>
      <c r="E2" s="2" t="s">
        <v>143</v>
      </c>
      <c r="F2" s="2" t="s">
        <v>144</v>
      </c>
      <c r="G2" s="2" t="s">
        <v>145</v>
      </c>
      <c r="H2" s="2" t="s">
        <v>146</v>
      </c>
      <c r="I2" s="2" t="s">
        <v>147</v>
      </c>
    </row>
    <row r="3" spans="1:10" x14ac:dyDescent="0.2">
      <c r="A3" s="2" t="s">
        <v>3</v>
      </c>
      <c r="B3" s="4">
        <v>2</v>
      </c>
      <c r="E3" s="2" t="s">
        <v>148</v>
      </c>
      <c r="F3" s="2" t="s">
        <v>149</v>
      </c>
      <c r="G3" s="2" t="s">
        <v>150</v>
      </c>
      <c r="H3" s="2" t="s">
        <v>151</v>
      </c>
      <c r="I3" s="2" t="s">
        <v>152</v>
      </c>
    </row>
    <row r="4" spans="1:10" x14ac:dyDescent="0.2">
      <c r="A4" s="2" t="s">
        <v>3</v>
      </c>
      <c r="B4" s="4">
        <v>3</v>
      </c>
      <c r="E4" s="2" t="s">
        <v>153</v>
      </c>
      <c r="F4" s="2" t="s">
        <v>98</v>
      </c>
      <c r="G4" s="2" t="s">
        <v>103</v>
      </c>
      <c r="H4" s="2" t="s">
        <v>97</v>
      </c>
      <c r="I4" s="2" t="s">
        <v>100</v>
      </c>
    </row>
    <row r="5" spans="1:10" x14ac:dyDescent="0.2">
      <c r="A5" s="2" t="s">
        <v>3</v>
      </c>
      <c r="B5" s="4">
        <v>4</v>
      </c>
      <c r="E5" s="2" t="s">
        <v>154</v>
      </c>
      <c r="F5" s="2" t="s">
        <v>155</v>
      </c>
      <c r="G5" s="2" t="s">
        <v>156</v>
      </c>
      <c r="H5" s="2" t="s">
        <v>157</v>
      </c>
      <c r="I5" s="2" t="s">
        <v>158</v>
      </c>
    </row>
    <row r="6" spans="1:10" x14ac:dyDescent="0.2">
      <c r="A6" s="2" t="s">
        <v>3</v>
      </c>
      <c r="B6" s="4">
        <v>5</v>
      </c>
      <c r="C6" s="2" t="s">
        <v>164</v>
      </c>
      <c r="E6" s="2" t="s">
        <v>159</v>
      </c>
      <c r="F6" s="2" t="s">
        <v>160</v>
      </c>
      <c r="G6" s="2" t="s">
        <v>161</v>
      </c>
      <c r="H6" s="2" t="s">
        <v>162</v>
      </c>
      <c r="I6" s="2" t="s">
        <v>163</v>
      </c>
    </row>
    <row r="7" spans="1:10" x14ac:dyDescent="0.2">
      <c r="A7" s="2" t="s">
        <v>3</v>
      </c>
      <c r="B7" s="4">
        <v>6</v>
      </c>
      <c r="E7" s="2" t="s">
        <v>165</v>
      </c>
      <c r="F7" s="2" t="s">
        <v>166</v>
      </c>
      <c r="G7" s="2" t="s">
        <v>167</v>
      </c>
      <c r="H7" s="2" t="s">
        <v>168</v>
      </c>
      <c r="I7" s="2" t="s">
        <v>169</v>
      </c>
    </row>
    <row r="8" spans="1:10" x14ac:dyDescent="0.2">
      <c r="A8" s="2" t="s">
        <v>3</v>
      </c>
      <c r="B8" s="4">
        <v>7</v>
      </c>
      <c r="E8" s="2" t="s">
        <v>170</v>
      </c>
      <c r="F8" s="2" t="s">
        <v>133</v>
      </c>
      <c r="G8" s="2" t="s">
        <v>115</v>
      </c>
      <c r="H8" s="2" t="s">
        <v>116</v>
      </c>
      <c r="I8" s="2" t="s">
        <v>117</v>
      </c>
    </row>
    <row r="9" spans="1:10" x14ac:dyDescent="0.2">
      <c r="A9" s="2" t="s">
        <v>3</v>
      </c>
      <c r="B9" s="4">
        <v>8</v>
      </c>
      <c r="E9" s="2" t="s">
        <v>171</v>
      </c>
      <c r="F9" s="2" t="s">
        <v>172</v>
      </c>
      <c r="G9" s="2" t="s">
        <v>173</v>
      </c>
      <c r="H9" s="2" t="s">
        <v>174</v>
      </c>
      <c r="I9" s="2" t="s">
        <v>119</v>
      </c>
    </row>
    <row r="10" spans="1:10" x14ac:dyDescent="0.2">
      <c r="A10" s="2" t="s">
        <v>3</v>
      </c>
      <c r="B10" s="4">
        <v>9</v>
      </c>
      <c r="E10" s="2" t="s">
        <v>175</v>
      </c>
      <c r="F10" s="2" t="s">
        <v>176</v>
      </c>
      <c r="G10" s="2" t="s">
        <v>177</v>
      </c>
      <c r="H10" s="2" t="s">
        <v>178</v>
      </c>
      <c r="I10" s="2" t="s">
        <v>179</v>
      </c>
    </row>
    <row r="11" spans="1:10" x14ac:dyDescent="0.2">
      <c r="A11" s="2" t="s">
        <v>3</v>
      </c>
      <c r="B11" s="4">
        <v>10</v>
      </c>
      <c r="C11" s="2" t="s">
        <v>185</v>
      </c>
      <c r="E11" s="2" t="s">
        <v>180</v>
      </c>
      <c r="F11" s="2" t="s">
        <v>181</v>
      </c>
      <c r="G11" s="2" t="s">
        <v>182</v>
      </c>
      <c r="H11" s="2" t="s">
        <v>183</v>
      </c>
      <c r="I11" s="2" t="s">
        <v>184</v>
      </c>
    </row>
    <row r="12" spans="1:10" x14ac:dyDescent="0.2">
      <c r="A12" s="2" t="s">
        <v>3</v>
      </c>
      <c r="B12" s="4">
        <v>11</v>
      </c>
      <c r="E12" s="2" t="s">
        <v>186</v>
      </c>
      <c r="F12" s="2" t="s">
        <v>187</v>
      </c>
      <c r="G12" s="2" t="s">
        <v>188</v>
      </c>
      <c r="H12" s="2" t="s">
        <v>189</v>
      </c>
      <c r="I12" s="2" t="s">
        <v>106</v>
      </c>
    </row>
    <row r="13" spans="1:10" x14ac:dyDescent="0.2">
      <c r="A13" s="2" t="s">
        <v>3</v>
      </c>
      <c r="B13" s="4">
        <v>12</v>
      </c>
      <c r="E13" s="2" t="s">
        <v>190</v>
      </c>
      <c r="F13" s="2" t="s">
        <v>142</v>
      </c>
      <c r="G13" s="2" t="s">
        <v>191</v>
      </c>
      <c r="H13" s="2" t="s">
        <v>192</v>
      </c>
      <c r="I13" s="2" t="s">
        <v>193</v>
      </c>
    </row>
    <row r="14" spans="1:10" x14ac:dyDescent="0.2">
      <c r="A14" s="2" t="s">
        <v>3</v>
      </c>
      <c r="B14" s="4">
        <v>13</v>
      </c>
      <c r="E14" s="2" t="s">
        <v>194</v>
      </c>
      <c r="F14" s="2" t="s">
        <v>195</v>
      </c>
      <c r="G14" s="2" t="s">
        <v>196</v>
      </c>
      <c r="H14" s="2" t="s">
        <v>197</v>
      </c>
      <c r="I14" s="2" t="s">
        <v>198</v>
      </c>
    </row>
    <row r="15" spans="1:10" x14ac:dyDescent="0.2">
      <c r="A15" s="2" t="s">
        <v>3</v>
      </c>
      <c r="B15" s="4">
        <v>14</v>
      </c>
      <c r="C15" s="2" t="s">
        <v>105</v>
      </c>
      <c r="E15" s="2" t="s">
        <v>199</v>
      </c>
      <c r="F15" s="2" t="s">
        <v>200</v>
      </c>
      <c r="G15" s="2" t="s">
        <v>201</v>
      </c>
      <c r="H15" s="2" t="s">
        <v>202</v>
      </c>
      <c r="I15" s="2" t="s">
        <v>203</v>
      </c>
    </row>
    <row r="16" spans="1:10" x14ac:dyDescent="0.2">
      <c r="A16" s="2" t="s">
        <v>3</v>
      </c>
      <c r="B16" s="4">
        <v>15</v>
      </c>
      <c r="E16" s="2" t="s">
        <v>204</v>
      </c>
      <c r="F16" s="2" t="s">
        <v>205</v>
      </c>
      <c r="G16" s="2" t="s">
        <v>206</v>
      </c>
      <c r="H16" s="2" t="s">
        <v>207</v>
      </c>
      <c r="I16" s="2" t="s">
        <v>208</v>
      </c>
    </row>
    <row r="17" spans="1:9" x14ac:dyDescent="0.2">
      <c r="A17" s="2" t="s">
        <v>3</v>
      </c>
      <c r="B17" s="4">
        <v>16</v>
      </c>
      <c r="E17" s="2" t="s">
        <v>209</v>
      </c>
      <c r="F17" s="2" t="s">
        <v>210</v>
      </c>
      <c r="G17" s="2" t="s">
        <v>211</v>
      </c>
      <c r="H17" s="2" t="s">
        <v>212</v>
      </c>
      <c r="I17" s="2" t="s">
        <v>213</v>
      </c>
    </row>
    <row r="18" spans="1:9" x14ac:dyDescent="0.2">
      <c r="A18" s="2" t="s">
        <v>3</v>
      </c>
      <c r="B18" s="4">
        <v>17</v>
      </c>
      <c r="E18" s="2" t="s">
        <v>214</v>
      </c>
      <c r="F18" s="2" t="s">
        <v>215</v>
      </c>
      <c r="G18" s="2" t="s">
        <v>216</v>
      </c>
      <c r="H18" s="2" t="s">
        <v>217</v>
      </c>
      <c r="I18" s="2" t="s">
        <v>218</v>
      </c>
    </row>
    <row r="19" spans="1:9" x14ac:dyDescent="0.2">
      <c r="A19" s="2" t="s">
        <v>3</v>
      </c>
      <c r="B19" s="4">
        <v>18</v>
      </c>
      <c r="E19" s="2" t="s">
        <v>219</v>
      </c>
      <c r="F19" s="2" t="s">
        <v>220</v>
      </c>
      <c r="G19" s="2" t="s">
        <v>221</v>
      </c>
      <c r="H19" s="2" t="s">
        <v>222</v>
      </c>
      <c r="I19" s="2" t="s">
        <v>223</v>
      </c>
    </row>
    <row r="20" spans="1:9" x14ac:dyDescent="0.2">
      <c r="A20" s="2" t="s">
        <v>3</v>
      </c>
      <c r="B20" s="4">
        <v>19</v>
      </c>
      <c r="C20" s="2" t="s">
        <v>225</v>
      </c>
      <c r="E20" s="2" t="s">
        <v>224</v>
      </c>
      <c r="F20" s="2" t="s">
        <v>101</v>
      </c>
      <c r="G20" s="2" t="s">
        <v>101</v>
      </c>
      <c r="H20" s="2" t="s">
        <v>101</v>
      </c>
      <c r="I20" s="2" t="s">
        <v>101</v>
      </c>
    </row>
    <row r="21" spans="1:9" x14ac:dyDescent="0.2">
      <c r="A21" s="2" t="s">
        <v>3</v>
      </c>
      <c r="B21" s="4">
        <v>20</v>
      </c>
      <c r="E21" s="2" t="s">
        <v>226</v>
      </c>
      <c r="F21" s="2" t="s">
        <v>227</v>
      </c>
      <c r="G21" s="2" t="s">
        <v>228</v>
      </c>
      <c r="H21" s="2" t="s">
        <v>229</v>
      </c>
      <c r="I21" s="2" t="s">
        <v>230</v>
      </c>
    </row>
    <row r="22" spans="1:9" x14ac:dyDescent="0.2">
      <c r="A22" s="2" t="s">
        <v>3</v>
      </c>
      <c r="B22" s="4">
        <v>21</v>
      </c>
      <c r="E22" s="2" t="s">
        <v>231</v>
      </c>
      <c r="F22" s="2" t="s">
        <v>232</v>
      </c>
      <c r="G22" s="2" t="s">
        <v>233</v>
      </c>
      <c r="H22" s="2" t="s">
        <v>234</v>
      </c>
      <c r="I22" s="2" t="s">
        <v>235</v>
      </c>
    </row>
    <row r="23" spans="1:9" x14ac:dyDescent="0.2">
      <c r="A23" s="2" t="s">
        <v>3</v>
      </c>
      <c r="B23" s="4">
        <v>22</v>
      </c>
      <c r="E23" s="2" t="s">
        <v>236</v>
      </c>
      <c r="F23" s="2" t="s">
        <v>237</v>
      </c>
      <c r="G23" s="2" t="s">
        <v>238</v>
      </c>
      <c r="H23" s="2" t="s">
        <v>239</v>
      </c>
      <c r="I23" s="2" t="s">
        <v>240</v>
      </c>
    </row>
    <row r="24" spans="1:9" x14ac:dyDescent="0.2">
      <c r="A24" s="2" t="s">
        <v>3</v>
      </c>
      <c r="B24" s="4">
        <v>23</v>
      </c>
      <c r="E24" s="2" t="s">
        <v>241</v>
      </c>
      <c r="F24" s="2" t="s">
        <v>242</v>
      </c>
      <c r="G24" s="2" t="s">
        <v>243</v>
      </c>
      <c r="H24" s="2" t="s">
        <v>244</v>
      </c>
      <c r="I24" s="2" t="s">
        <v>245</v>
      </c>
    </row>
    <row r="25" spans="1:9" x14ac:dyDescent="0.2">
      <c r="A25" s="2" t="s">
        <v>3</v>
      </c>
      <c r="B25" s="4">
        <v>24</v>
      </c>
      <c r="E25" s="2" t="s">
        <v>246</v>
      </c>
      <c r="F25" s="2" t="s">
        <v>247</v>
      </c>
      <c r="G25" s="2" t="s">
        <v>248</v>
      </c>
      <c r="H25" s="2" t="s">
        <v>249</v>
      </c>
      <c r="I25" s="2" t="s">
        <v>250</v>
      </c>
    </row>
    <row r="26" spans="1:9" x14ac:dyDescent="0.2">
      <c r="A26" s="2" t="s">
        <v>3</v>
      </c>
      <c r="B26" s="4">
        <v>25</v>
      </c>
      <c r="C26" s="2" t="s">
        <v>256</v>
      </c>
      <c r="E26" s="2" t="s">
        <v>251</v>
      </c>
      <c r="F26" s="2" t="s">
        <v>252</v>
      </c>
      <c r="G26" s="2" t="s">
        <v>253</v>
      </c>
      <c r="H26" s="2" t="s">
        <v>254</v>
      </c>
      <c r="I26" s="2" t="s">
        <v>255</v>
      </c>
    </row>
    <row r="27" spans="1:9" x14ac:dyDescent="0.2">
      <c r="A27" s="2" t="s">
        <v>3</v>
      </c>
      <c r="B27" s="4">
        <v>26</v>
      </c>
      <c r="E27" s="2" t="s">
        <v>257</v>
      </c>
      <c r="F27" s="2" t="s">
        <v>258</v>
      </c>
      <c r="G27" s="2" t="s">
        <v>135</v>
      </c>
      <c r="H27" s="2" t="s">
        <v>259</v>
      </c>
      <c r="I27" s="2" t="s">
        <v>260</v>
      </c>
    </row>
    <row r="28" spans="1:9" x14ac:dyDescent="0.2">
      <c r="A28" s="2" t="s">
        <v>3</v>
      </c>
      <c r="B28" s="4">
        <v>27</v>
      </c>
      <c r="E28" s="2" t="s">
        <v>261</v>
      </c>
      <c r="F28" s="2" t="s">
        <v>262</v>
      </c>
      <c r="G28" s="2" t="s">
        <v>263</v>
      </c>
      <c r="H28" s="2" t="s">
        <v>264</v>
      </c>
      <c r="I28" s="2" t="s">
        <v>265</v>
      </c>
    </row>
    <row r="29" spans="1:9" x14ac:dyDescent="0.2">
      <c r="A29" s="2" t="s">
        <v>3</v>
      </c>
      <c r="B29" s="4">
        <v>28</v>
      </c>
      <c r="E29" s="2" t="s">
        <v>266</v>
      </c>
      <c r="F29" s="2" t="s">
        <v>267</v>
      </c>
      <c r="G29" s="2" t="s">
        <v>268</v>
      </c>
      <c r="H29" s="2" t="s">
        <v>269</v>
      </c>
      <c r="I29" s="2" t="s">
        <v>270</v>
      </c>
    </row>
    <row r="30" spans="1:9" x14ac:dyDescent="0.2">
      <c r="A30" s="2" t="s">
        <v>3</v>
      </c>
      <c r="B30" s="4">
        <v>29</v>
      </c>
      <c r="C30" s="2" t="s">
        <v>105</v>
      </c>
      <c r="E30" s="2" t="s">
        <v>271</v>
      </c>
      <c r="F30" s="2" t="s">
        <v>272</v>
      </c>
      <c r="G30" s="2" t="s">
        <v>273</v>
      </c>
      <c r="H30" s="2" t="s">
        <v>274</v>
      </c>
      <c r="I30" s="2" t="s">
        <v>275</v>
      </c>
    </row>
    <row r="31" spans="1:9" x14ac:dyDescent="0.2">
      <c r="A31" s="2" t="s">
        <v>3</v>
      </c>
      <c r="B31" s="4">
        <v>30</v>
      </c>
      <c r="E31" s="2" t="s">
        <v>276</v>
      </c>
      <c r="F31" s="2" t="s">
        <v>277</v>
      </c>
      <c r="G31" s="2" t="s">
        <v>278</v>
      </c>
      <c r="H31" s="2" t="s">
        <v>279</v>
      </c>
      <c r="I31" s="2" t="s">
        <v>280</v>
      </c>
    </row>
    <row r="32" spans="1:9" x14ac:dyDescent="0.2">
      <c r="A32" s="2" t="s">
        <v>3</v>
      </c>
      <c r="B32" s="4">
        <v>31</v>
      </c>
      <c r="E32" s="2" t="s">
        <v>281</v>
      </c>
      <c r="F32" s="2" t="s">
        <v>282</v>
      </c>
      <c r="G32" s="2" t="s">
        <v>283</v>
      </c>
      <c r="H32" s="2" t="s">
        <v>284</v>
      </c>
      <c r="I32" s="2" t="s">
        <v>285</v>
      </c>
    </row>
    <row r="33" spans="1:9" x14ac:dyDescent="0.2">
      <c r="A33" s="2" t="s">
        <v>3</v>
      </c>
      <c r="B33" s="4">
        <v>32</v>
      </c>
      <c r="E33" s="2" t="s">
        <v>286</v>
      </c>
      <c r="F33" s="2" t="s">
        <v>287</v>
      </c>
      <c r="G33" s="2" t="s">
        <v>288</v>
      </c>
      <c r="H33" s="2" t="s">
        <v>289</v>
      </c>
      <c r="I33" s="2" t="s">
        <v>290</v>
      </c>
    </row>
    <row r="34" spans="1:9" x14ac:dyDescent="0.2">
      <c r="A34" s="2" t="s">
        <v>3</v>
      </c>
      <c r="B34" s="4">
        <v>33</v>
      </c>
      <c r="E34" s="2" t="s">
        <v>291</v>
      </c>
      <c r="F34" s="2" t="s">
        <v>292</v>
      </c>
      <c r="G34" s="2" t="s">
        <v>293</v>
      </c>
      <c r="H34" s="2" t="s">
        <v>294</v>
      </c>
      <c r="I34" s="2" t="s">
        <v>295</v>
      </c>
    </row>
    <row r="35" spans="1:9" x14ac:dyDescent="0.2">
      <c r="A35" s="2" t="s">
        <v>3</v>
      </c>
      <c r="B35" s="4">
        <v>34</v>
      </c>
      <c r="E35" s="2" t="s">
        <v>296</v>
      </c>
      <c r="F35" s="2" t="s">
        <v>297</v>
      </c>
      <c r="G35" s="2" t="s">
        <v>298</v>
      </c>
      <c r="H35" s="2" t="s">
        <v>299</v>
      </c>
      <c r="I35" s="2" t="s">
        <v>300</v>
      </c>
    </row>
    <row r="36" spans="1:9" x14ac:dyDescent="0.2">
      <c r="A36" s="2" t="s">
        <v>3</v>
      </c>
      <c r="B36" s="4">
        <v>35</v>
      </c>
      <c r="C36" s="2" t="s">
        <v>306</v>
      </c>
      <c r="E36" s="2" t="s">
        <v>301</v>
      </c>
      <c r="F36" s="2" t="s">
        <v>302</v>
      </c>
      <c r="G36" s="2" t="s">
        <v>303</v>
      </c>
      <c r="H36" s="2" t="s">
        <v>304</v>
      </c>
      <c r="I36" s="2" t="s">
        <v>305</v>
      </c>
    </row>
    <row r="37" spans="1:9" x14ac:dyDescent="0.2">
      <c r="A37" s="2" t="s">
        <v>3</v>
      </c>
      <c r="B37" s="4">
        <v>36</v>
      </c>
      <c r="E37" s="2" t="s">
        <v>307</v>
      </c>
      <c r="F37" s="2" t="s">
        <v>308</v>
      </c>
      <c r="G37" s="2" t="s">
        <v>309</v>
      </c>
      <c r="H37" s="2" t="s">
        <v>310</v>
      </c>
      <c r="I37" s="2" t="s">
        <v>311</v>
      </c>
    </row>
    <row r="38" spans="1:9" x14ac:dyDescent="0.2">
      <c r="A38" s="2" t="s">
        <v>3</v>
      </c>
      <c r="B38" s="4">
        <v>37</v>
      </c>
      <c r="E38" s="2" t="s">
        <v>312</v>
      </c>
      <c r="F38" s="2" t="s">
        <v>313</v>
      </c>
      <c r="G38" s="2" t="s">
        <v>314</v>
      </c>
      <c r="H38" s="2" t="s">
        <v>315</v>
      </c>
      <c r="I38" s="2" t="s">
        <v>316</v>
      </c>
    </row>
    <row r="39" spans="1:9" x14ac:dyDescent="0.2">
      <c r="A39" s="2" t="s">
        <v>3</v>
      </c>
      <c r="B39" s="4">
        <v>38</v>
      </c>
      <c r="E39" s="2" t="s">
        <v>317</v>
      </c>
      <c r="F39" s="2" t="s">
        <v>103</v>
      </c>
      <c r="G39" s="2" t="s">
        <v>104</v>
      </c>
      <c r="H39" s="2" t="s">
        <v>120</v>
      </c>
      <c r="I39" s="2" t="s">
        <v>100</v>
      </c>
    </row>
    <row r="40" spans="1:9" x14ac:dyDescent="0.2">
      <c r="A40" s="2" t="s">
        <v>3</v>
      </c>
      <c r="B40" s="4">
        <v>39</v>
      </c>
      <c r="E40" s="2" t="s">
        <v>318</v>
      </c>
      <c r="F40" s="2" t="s">
        <v>319</v>
      </c>
      <c r="G40" s="2" t="s">
        <v>320</v>
      </c>
      <c r="H40" s="2" t="s">
        <v>321</v>
      </c>
      <c r="I40" s="2" t="s">
        <v>322</v>
      </c>
    </row>
    <row r="41" spans="1:9" x14ac:dyDescent="0.2">
      <c r="A41" s="2" t="s">
        <v>3</v>
      </c>
      <c r="B41" s="4">
        <v>40</v>
      </c>
      <c r="E41" s="2" t="s">
        <v>323</v>
      </c>
      <c r="F41" s="2" t="s">
        <v>324</v>
      </c>
      <c r="G41" s="2" t="s">
        <v>325</v>
      </c>
      <c r="H41" s="2" t="s">
        <v>326</v>
      </c>
      <c r="I41" s="2" t="s">
        <v>327</v>
      </c>
    </row>
    <row r="42" spans="1:9" x14ac:dyDescent="0.2">
      <c r="A42" s="2" t="s">
        <v>3</v>
      </c>
      <c r="B42" s="4">
        <v>41</v>
      </c>
      <c r="C42" s="2" t="s">
        <v>333</v>
      </c>
      <c r="E42" s="2" t="s">
        <v>328</v>
      </c>
      <c r="F42" s="2" t="s">
        <v>329</v>
      </c>
      <c r="G42" s="2" t="s">
        <v>330</v>
      </c>
      <c r="H42" s="2" t="s">
        <v>331</v>
      </c>
      <c r="I42" s="2" t="s">
        <v>332</v>
      </c>
    </row>
    <row r="43" spans="1:9" x14ac:dyDescent="0.2">
      <c r="A43" s="2" t="s">
        <v>3</v>
      </c>
      <c r="B43" s="4">
        <v>42</v>
      </c>
      <c r="E43" s="2" t="s">
        <v>334</v>
      </c>
      <c r="F43" s="2" t="s">
        <v>335</v>
      </c>
      <c r="G43" s="2" t="s">
        <v>336</v>
      </c>
      <c r="H43" s="2" t="s">
        <v>337</v>
      </c>
      <c r="I43" s="2" t="s">
        <v>338</v>
      </c>
    </row>
    <row r="44" spans="1:9" x14ac:dyDescent="0.2">
      <c r="A44" s="2" t="s">
        <v>3</v>
      </c>
      <c r="B44" s="4">
        <v>43</v>
      </c>
      <c r="E44" s="2" t="s">
        <v>339</v>
      </c>
      <c r="F44" s="2" t="s">
        <v>340</v>
      </c>
      <c r="G44" s="2" t="s">
        <v>341</v>
      </c>
      <c r="H44" s="2" t="s">
        <v>342</v>
      </c>
      <c r="I44" s="2" t="s">
        <v>343</v>
      </c>
    </row>
    <row r="45" spans="1:9" x14ac:dyDescent="0.2">
      <c r="A45" s="2" t="s">
        <v>3</v>
      </c>
      <c r="B45" s="4">
        <v>44</v>
      </c>
      <c r="E45" s="2" t="s">
        <v>344</v>
      </c>
      <c r="F45" s="2" t="s">
        <v>345</v>
      </c>
      <c r="G45" s="2" t="s">
        <v>346</v>
      </c>
      <c r="H45" s="2" t="s">
        <v>347</v>
      </c>
      <c r="I45" s="2" t="s">
        <v>348</v>
      </c>
    </row>
    <row r="46" spans="1:9" x14ac:dyDescent="0.2">
      <c r="A46" s="2" t="s">
        <v>3</v>
      </c>
      <c r="B46" s="4">
        <v>45</v>
      </c>
      <c r="E46" s="2" t="s">
        <v>349</v>
      </c>
      <c r="F46" s="2" t="s">
        <v>350</v>
      </c>
      <c r="G46" s="2" t="s">
        <v>351</v>
      </c>
      <c r="H46" s="2" t="s">
        <v>352</v>
      </c>
      <c r="I46" s="2" t="s">
        <v>353</v>
      </c>
    </row>
    <row r="47" spans="1:9" x14ac:dyDescent="0.2">
      <c r="A47" s="2" t="s">
        <v>3</v>
      </c>
      <c r="B47" s="4">
        <v>46</v>
      </c>
      <c r="E47" s="2" t="s">
        <v>354</v>
      </c>
      <c r="F47" s="2" t="s">
        <v>355</v>
      </c>
      <c r="G47" s="2" t="s">
        <v>356</v>
      </c>
      <c r="H47" s="2" t="s">
        <v>357</v>
      </c>
      <c r="I47" s="2" t="s">
        <v>358</v>
      </c>
    </row>
    <row r="48" spans="1:9" x14ac:dyDescent="0.2">
      <c r="A48" s="2" t="s">
        <v>3</v>
      </c>
      <c r="B48" s="4">
        <v>47</v>
      </c>
      <c r="C48" s="2" t="s">
        <v>364</v>
      </c>
      <c r="E48" s="2" t="s">
        <v>359</v>
      </c>
      <c r="F48" s="2" t="s">
        <v>360</v>
      </c>
      <c r="G48" s="2" t="s">
        <v>361</v>
      </c>
      <c r="H48" s="2" t="s">
        <v>362</v>
      </c>
      <c r="I48" s="2" t="s">
        <v>363</v>
      </c>
    </row>
    <row r="49" spans="1:9" x14ac:dyDescent="0.2">
      <c r="A49" s="2" t="s">
        <v>3</v>
      </c>
      <c r="B49" s="4">
        <v>48</v>
      </c>
      <c r="E49" s="2" t="s">
        <v>365</v>
      </c>
      <c r="F49" s="2" t="s">
        <v>366</v>
      </c>
      <c r="G49" s="2" t="s">
        <v>367</v>
      </c>
      <c r="H49" s="2" t="s">
        <v>368</v>
      </c>
      <c r="I49" s="2" t="s">
        <v>369</v>
      </c>
    </row>
    <row r="50" spans="1:9" x14ac:dyDescent="0.2">
      <c r="A50" s="2" t="s">
        <v>3</v>
      </c>
      <c r="B50" s="4">
        <v>49</v>
      </c>
      <c r="E50" s="2" t="s">
        <v>370</v>
      </c>
      <c r="F50" s="2" t="s">
        <v>141</v>
      </c>
      <c r="G50" s="2" t="s">
        <v>371</v>
      </c>
      <c r="H50" s="2" t="s">
        <v>372</v>
      </c>
      <c r="I50" s="2" t="s">
        <v>138</v>
      </c>
    </row>
    <row r="51" spans="1:9" x14ac:dyDescent="0.2">
      <c r="A51" s="2" t="s">
        <v>3</v>
      </c>
      <c r="B51" s="4">
        <v>50</v>
      </c>
      <c r="E51" s="2" t="s">
        <v>373</v>
      </c>
      <c r="F51" s="2" t="s">
        <v>374</v>
      </c>
      <c r="G51" s="2" t="s">
        <v>375</v>
      </c>
      <c r="H51" s="2" t="s">
        <v>376</v>
      </c>
      <c r="I51" s="2" t="s">
        <v>377</v>
      </c>
    </row>
    <row r="52" spans="1:9" x14ac:dyDescent="0.2">
      <c r="A52" s="2" t="s">
        <v>3</v>
      </c>
      <c r="B52" s="4">
        <v>51</v>
      </c>
      <c r="E52" s="2" t="s">
        <v>378</v>
      </c>
      <c r="F52" s="2" t="s">
        <v>101</v>
      </c>
      <c r="G52" s="2" t="s">
        <v>101</v>
      </c>
      <c r="H52" s="2" t="s">
        <v>101</v>
      </c>
      <c r="I52" s="2" t="s">
        <v>101</v>
      </c>
    </row>
    <row r="53" spans="1:9" x14ac:dyDescent="0.2">
      <c r="A53" s="2" t="s">
        <v>3</v>
      </c>
      <c r="B53" s="4">
        <v>52</v>
      </c>
      <c r="C53" s="2" t="s">
        <v>105</v>
      </c>
      <c r="E53" s="2" t="s">
        <v>379</v>
      </c>
      <c r="F53" s="2" t="s">
        <v>380</v>
      </c>
      <c r="G53" s="2" t="s">
        <v>381</v>
      </c>
      <c r="H53" s="2" t="s">
        <v>382</v>
      </c>
      <c r="I53" s="2" t="s">
        <v>383</v>
      </c>
    </row>
    <row r="54" spans="1:9" x14ac:dyDescent="0.2">
      <c r="A54" s="2" t="s">
        <v>4</v>
      </c>
      <c r="B54" s="4">
        <v>1</v>
      </c>
      <c r="E54" s="2" t="s">
        <v>384</v>
      </c>
      <c r="F54" s="2" t="s">
        <v>385</v>
      </c>
      <c r="G54" s="2" t="s">
        <v>386</v>
      </c>
      <c r="H54" s="2" t="s">
        <v>387</v>
      </c>
      <c r="I54" s="2" t="s">
        <v>388</v>
      </c>
    </row>
    <row r="55" spans="1:9" x14ac:dyDescent="0.2">
      <c r="A55" s="2" t="s">
        <v>4</v>
      </c>
      <c r="B55" s="4">
        <v>2</v>
      </c>
      <c r="E55" s="2" t="s">
        <v>389</v>
      </c>
      <c r="F55" s="2" t="s">
        <v>390</v>
      </c>
      <c r="G55" s="2" t="s">
        <v>391</v>
      </c>
      <c r="H55" s="2" t="s">
        <v>392</v>
      </c>
      <c r="I55" s="2" t="s">
        <v>393</v>
      </c>
    </row>
    <row r="56" spans="1:9" x14ac:dyDescent="0.2">
      <c r="A56" s="2" t="s">
        <v>4</v>
      </c>
      <c r="B56" s="4">
        <v>3</v>
      </c>
      <c r="E56" s="2" t="s">
        <v>394</v>
      </c>
      <c r="F56" s="2" t="s">
        <v>102</v>
      </c>
      <c r="G56" s="2" t="s">
        <v>104</v>
      </c>
      <c r="H56" s="2" t="s">
        <v>121</v>
      </c>
      <c r="I56" s="2" t="s">
        <v>120</v>
      </c>
    </row>
    <row r="57" spans="1:9" x14ac:dyDescent="0.2">
      <c r="A57" s="2" t="s">
        <v>4</v>
      </c>
      <c r="B57" s="4">
        <v>4</v>
      </c>
      <c r="E57" s="2" t="s">
        <v>395</v>
      </c>
      <c r="F57" s="2" t="s">
        <v>396</v>
      </c>
      <c r="G57" s="2" t="s">
        <v>397</v>
      </c>
      <c r="H57" s="2" t="s">
        <v>398</v>
      </c>
      <c r="I57" s="2" t="s">
        <v>399</v>
      </c>
    </row>
    <row r="58" spans="1:9" x14ac:dyDescent="0.2">
      <c r="A58" s="2" t="s">
        <v>4</v>
      </c>
      <c r="B58" s="4">
        <v>5</v>
      </c>
      <c r="E58" s="2" t="s">
        <v>400</v>
      </c>
      <c r="F58" s="2" t="s">
        <v>401</v>
      </c>
      <c r="G58" s="2" t="s">
        <v>402</v>
      </c>
      <c r="H58" s="2" t="s">
        <v>403</v>
      </c>
      <c r="I58" s="2" t="s">
        <v>404</v>
      </c>
    </row>
    <row r="59" spans="1:9" x14ac:dyDescent="0.2">
      <c r="A59" s="2" t="s">
        <v>4</v>
      </c>
      <c r="B59" s="4">
        <v>6</v>
      </c>
      <c r="E59" s="2" t="s">
        <v>405</v>
      </c>
      <c r="F59" s="2" t="s">
        <v>406</v>
      </c>
      <c r="G59" s="2" t="s">
        <v>407</v>
      </c>
      <c r="H59" s="2" t="s">
        <v>408</v>
      </c>
      <c r="I59" s="2" t="s">
        <v>409</v>
      </c>
    </row>
    <row r="60" spans="1:9" x14ac:dyDescent="0.2">
      <c r="A60" s="2" t="s">
        <v>4</v>
      </c>
      <c r="B60" s="4">
        <v>7</v>
      </c>
      <c r="C60" s="2" t="s">
        <v>415</v>
      </c>
      <c r="E60" s="2" t="s">
        <v>410</v>
      </c>
      <c r="F60" s="2" t="s">
        <v>411</v>
      </c>
      <c r="G60" s="2" t="s">
        <v>412</v>
      </c>
      <c r="H60" s="2" t="s">
        <v>413</v>
      </c>
      <c r="I60" s="2" t="s">
        <v>414</v>
      </c>
    </row>
    <row r="61" spans="1:9" x14ac:dyDescent="0.2">
      <c r="A61" s="2" t="s">
        <v>4</v>
      </c>
      <c r="B61" s="4">
        <v>8</v>
      </c>
      <c r="E61" s="2" t="s">
        <v>416</v>
      </c>
      <c r="F61" s="2" t="s">
        <v>417</v>
      </c>
      <c r="G61" s="2" t="s">
        <v>418</v>
      </c>
      <c r="H61" s="2" t="s">
        <v>419</v>
      </c>
      <c r="I61" s="2" t="s">
        <v>420</v>
      </c>
    </row>
    <row r="62" spans="1:9" x14ac:dyDescent="0.2">
      <c r="A62" s="2" t="s">
        <v>4</v>
      </c>
      <c r="B62" s="4">
        <v>9</v>
      </c>
      <c r="E62" s="2" t="s">
        <v>421</v>
      </c>
      <c r="F62" s="2" t="s">
        <v>422</v>
      </c>
      <c r="G62" s="2" t="s">
        <v>423</v>
      </c>
      <c r="H62" s="2" t="s">
        <v>424</v>
      </c>
      <c r="I62" s="2" t="s">
        <v>425</v>
      </c>
    </row>
    <row r="63" spans="1:9" x14ac:dyDescent="0.2">
      <c r="A63" s="2" t="s">
        <v>4</v>
      </c>
      <c r="B63" s="4">
        <v>10</v>
      </c>
      <c r="E63" s="2" t="s">
        <v>426</v>
      </c>
      <c r="F63" s="2" t="s">
        <v>427</v>
      </c>
      <c r="G63" s="2" t="s">
        <v>428</v>
      </c>
      <c r="H63" s="2" t="s">
        <v>429</v>
      </c>
      <c r="I63" s="2" t="s">
        <v>430</v>
      </c>
    </row>
    <row r="64" spans="1:9" x14ac:dyDescent="0.2">
      <c r="A64" s="2" t="s">
        <v>4</v>
      </c>
      <c r="B64" s="4">
        <v>11</v>
      </c>
      <c r="E64" s="2" t="s">
        <v>431</v>
      </c>
      <c r="F64" s="2" t="s">
        <v>432</v>
      </c>
      <c r="G64" s="2" t="s">
        <v>433</v>
      </c>
      <c r="H64" s="2" t="s">
        <v>434</v>
      </c>
      <c r="I64" s="2" t="s">
        <v>435</v>
      </c>
    </row>
    <row r="65" spans="1:9" x14ac:dyDescent="0.2">
      <c r="A65" s="2" t="s">
        <v>4</v>
      </c>
      <c r="B65" s="4">
        <v>12</v>
      </c>
      <c r="C65" s="2" t="s">
        <v>441</v>
      </c>
      <c r="E65" s="2" t="s">
        <v>436</v>
      </c>
      <c r="F65" s="2" t="s">
        <v>437</v>
      </c>
      <c r="G65" s="2" t="s">
        <v>438</v>
      </c>
      <c r="H65" s="2" t="s">
        <v>439</v>
      </c>
      <c r="I65" s="2" t="s">
        <v>440</v>
      </c>
    </row>
    <row r="66" spans="1:9" x14ac:dyDescent="0.2">
      <c r="A66" s="2" t="s">
        <v>4</v>
      </c>
      <c r="B66" s="4">
        <v>13</v>
      </c>
      <c r="E66" s="2" t="s">
        <v>442</v>
      </c>
      <c r="F66" s="2" t="s">
        <v>443</v>
      </c>
      <c r="G66" s="2" t="s">
        <v>444</v>
      </c>
      <c r="H66" s="2" t="s">
        <v>445</v>
      </c>
      <c r="I66" s="2" t="s">
        <v>446</v>
      </c>
    </row>
    <row r="67" spans="1:9" x14ac:dyDescent="0.2">
      <c r="A67" s="2" t="s">
        <v>4</v>
      </c>
      <c r="B67" s="4">
        <v>14</v>
      </c>
      <c r="E67" s="2" t="s">
        <v>447</v>
      </c>
      <c r="F67" s="2" t="s">
        <v>448</v>
      </c>
      <c r="G67" s="2" t="s">
        <v>449</v>
      </c>
      <c r="H67" s="2" t="s">
        <v>450</v>
      </c>
      <c r="I67" s="2" t="s">
        <v>451</v>
      </c>
    </row>
    <row r="68" spans="1:9" x14ac:dyDescent="0.2">
      <c r="A68" s="2" t="s">
        <v>4</v>
      </c>
      <c r="B68" s="4">
        <v>15</v>
      </c>
      <c r="E68" s="2" t="s">
        <v>452</v>
      </c>
      <c r="F68" s="2" t="s">
        <v>453</v>
      </c>
      <c r="G68" s="2" t="s">
        <v>454</v>
      </c>
      <c r="H68" s="2" t="s">
        <v>455</v>
      </c>
      <c r="I68" s="2" t="s">
        <v>456</v>
      </c>
    </row>
    <row r="69" spans="1:9" x14ac:dyDescent="0.2">
      <c r="A69" s="2" t="s">
        <v>4</v>
      </c>
      <c r="B69" s="4">
        <v>16</v>
      </c>
      <c r="E69" s="2" t="s">
        <v>457</v>
      </c>
      <c r="F69" s="2" t="s">
        <v>458</v>
      </c>
      <c r="G69" s="2" t="s">
        <v>459</v>
      </c>
      <c r="H69" s="2" t="s">
        <v>460</v>
      </c>
      <c r="I69" s="2" t="s">
        <v>461</v>
      </c>
    </row>
    <row r="70" spans="1:9" x14ac:dyDescent="0.2">
      <c r="A70" s="2" t="s">
        <v>4</v>
      </c>
      <c r="B70" s="4">
        <v>17</v>
      </c>
      <c r="C70" s="2" t="s">
        <v>467</v>
      </c>
      <c r="E70" s="2" t="s">
        <v>462</v>
      </c>
      <c r="F70" s="2" t="s">
        <v>463</v>
      </c>
      <c r="G70" s="2" t="s">
        <v>464</v>
      </c>
      <c r="H70" s="2" t="s">
        <v>465</v>
      </c>
      <c r="I70" s="2" t="s">
        <v>466</v>
      </c>
    </row>
    <row r="71" spans="1:9" x14ac:dyDescent="0.2">
      <c r="A71" s="2" t="s">
        <v>4</v>
      </c>
      <c r="B71" s="4">
        <v>18</v>
      </c>
      <c r="E71" s="2" t="s">
        <v>468</v>
      </c>
      <c r="F71" s="2" t="s">
        <v>469</v>
      </c>
      <c r="G71" s="2" t="s">
        <v>470</v>
      </c>
      <c r="H71" s="2" t="s">
        <v>471</v>
      </c>
      <c r="I71" s="2" t="s">
        <v>472</v>
      </c>
    </row>
    <row r="72" spans="1:9" x14ac:dyDescent="0.2">
      <c r="A72" s="2" t="s">
        <v>4</v>
      </c>
      <c r="B72" s="4">
        <v>19</v>
      </c>
      <c r="E72" s="2" t="s">
        <v>473</v>
      </c>
      <c r="F72" s="2" t="s">
        <v>474</v>
      </c>
      <c r="G72" s="2" t="s">
        <v>475</v>
      </c>
      <c r="H72" s="2" t="s">
        <v>476</v>
      </c>
      <c r="I72" s="2" t="s">
        <v>477</v>
      </c>
    </row>
    <row r="73" spans="1:9" x14ac:dyDescent="0.2">
      <c r="A73" s="2" t="s">
        <v>4</v>
      </c>
      <c r="B73" s="4">
        <v>20</v>
      </c>
      <c r="E73" s="2" t="s">
        <v>478</v>
      </c>
      <c r="F73" s="2" t="s">
        <v>479</v>
      </c>
      <c r="G73" s="2" t="s">
        <v>480</v>
      </c>
      <c r="H73" s="2" t="s">
        <v>481</v>
      </c>
      <c r="I73" s="2" t="s">
        <v>482</v>
      </c>
    </row>
    <row r="74" spans="1:9" x14ac:dyDescent="0.2">
      <c r="A74" s="2" t="s">
        <v>4</v>
      </c>
      <c r="B74" s="4">
        <v>21</v>
      </c>
      <c r="E74" s="2" t="s">
        <v>483</v>
      </c>
      <c r="F74" s="2" t="s">
        <v>484</v>
      </c>
      <c r="G74" s="2" t="s">
        <v>485</v>
      </c>
      <c r="H74" s="2" t="s">
        <v>486</v>
      </c>
      <c r="I74" s="2" t="s">
        <v>487</v>
      </c>
    </row>
    <row r="75" spans="1:9" x14ac:dyDescent="0.2">
      <c r="A75" s="2" t="s">
        <v>4</v>
      </c>
      <c r="B75" s="4">
        <v>22</v>
      </c>
      <c r="E75" s="2" t="s">
        <v>488</v>
      </c>
      <c r="F75" s="2" t="s">
        <v>489</v>
      </c>
      <c r="G75" s="2" t="s">
        <v>490</v>
      </c>
      <c r="H75" s="2" t="s">
        <v>491</v>
      </c>
      <c r="I75" s="2" t="s">
        <v>492</v>
      </c>
    </row>
    <row r="76" spans="1:9" x14ac:dyDescent="0.2">
      <c r="A76" s="2" t="s">
        <v>4</v>
      </c>
      <c r="B76" s="4">
        <v>23</v>
      </c>
      <c r="C76" s="2" t="s">
        <v>498</v>
      </c>
      <c r="E76" s="2" t="s">
        <v>493</v>
      </c>
      <c r="F76" s="2" t="s">
        <v>494</v>
      </c>
      <c r="G76" s="2" t="s">
        <v>495</v>
      </c>
      <c r="H76" s="2" t="s">
        <v>496</v>
      </c>
      <c r="I76" s="2" t="s">
        <v>497</v>
      </c>
    </row>
    <row r="77" spans="1:9" x14ac:dyDescent="0.2">
      <c r="A77" s="2" t="s">
        <v>4</v>
      </c>
      <c r="B77" s="4">
        <v>24</v>
      </c>
      <c r="E77" s="2" t="s">
        <v>499</v>
      </c>
      <c r="F77" s="2" t="s">
        <v>500</v>
      </c>
      <c r="G77" s="2" t="s">
        <v>501</v>
      </c>
      <c r="H77" s="2" t="s">
        <v>502</v>
      </c>
      <c r="I77" s="2" t="s">
        <v>503</v>
      </c>
    </row>
    <row r="78" spans="1:9" x14ac:dyDescent="0.2">
      <c r="A78" s="2" t="s">
        <v>4</v>
      </c>
      <c r="B78" s="4">
        <v>25</v>
      </c>
      <c r="E78" s="2" t="s">
        <v>504</v>
      </c>
      <c r="F78" s="2" t="s">
        <v>505</v>
      </c>
      <c r="G78" s="2" t="s">
        <v>506</v>
      </c>
      <c r="H78" s="2" t="s">
        <v>507</v>
      </c>
      <c r="I78" s="2" t="s">
        <v>508</v>
      </c>
    </row>
    <row r="79" spans="1:9" x14ac:dyDescent="0.2">
      <c r="A79" s="2" t="s">
        <v>4</v>
      </c>
      <c r="B79" s="4">
        <v>26</v>
      </c>
      <c r="E79" s="2" t="s">
        <v>509</v>
      </c>
      <c r="F79" s="2" t="s">
        <v>510</v>
      </c>
      <c r="G79" s="2" t="s">
        <v>511</v>
      </c>
      <c r="H79" s="2" t="s">
        <v>512</v>
      </c>
      <c r="I79" s="2" t="s">
        <v>513</v>
      </c>
    </row>
    <row r="80" spans="1:9" x14ac:dyDescent="0.2">
      <c r="A80" s="2" t="s">
        <v>4</v>
      </c>
      <c r="B80" s="4">
        <v>27</v>
      </c>
      <c r="E80" s="2" t="s">
        <v>514</v>
      </c>
      <c r="F80" s="2" t="s">
        <v>515</v>
      </c>
      <c r="G80" s="2" t="s">
        <v>516</v>
      </c>
      <c r="H80" s="2" t="s">
        <v>517</v>
      </c>
      <c r="I80" s="2" t="s">
        <v>518</v>
      </c>
    </row>
    <row r="81" spans="1:9" x14ac:dyDescent="0.2">
      <c r="A81" s="2" t="s">
        <v>4</v>
      </c>
      <c r="B81" s="4">
        <v>28</v>
      </c>
      <c r="C81" s="2" t="s">
        <v>524</v>
      </c>
      <c r="E81" s="2" t="s">
        <v>519</v>
      </c>
      <c r="F81" s="2" t="s">
        <v>520</v>
      </c>
      <c r="G81" s="2" t="s">
        <v>521</v>
      </c>
      <c r="H81" s="2" t="s">
        <v>522</v>
      </c>
      <c r="I81" s="2" t="s">
        <v>523</v>
      </c>
    </row>
    <row r="82" spans="1:9" x14ac:dyDescent="0.2">
      <c r="A82" s="2" t="s">
        <v>4</v>
      </c>
      <c r="B82" s="4">
        <v>29</v>
      </c>
      <c r="E82" s="2" t="s">
        <v>525</v>
      </c>
      <c r="F82" s="2" t="s">
        <v>526</v>
      </c>
      <c r="G82" s="2" t="s">
        <v>527</v>
      </c>
      <c r="H82" s="2" t="s">
        <v>528</v>
      </c>
      <c r="I82" s="2" t="s">
        <v>529</v>
      </c>
    </row>
    <row r="83" spans="1:9" x14ac:dyDescent="0.2">
      <c r="A83" s="2" t="s">
        <v>4</v>
      </c>
      <c r="B83" s="4">
        <v>30</v>
      </c>
      <c r="E83" s="2" t="s">
        <v>530</v>
      </c>
      <c r="F83" s="2" t="s">
        <v>531</v>
      </c>
      <c r="G83" s="2" t="s">
        <v>532</v>
      </c>
      <c r="H83" s="2" t="s">
        <v>533</v>
      </c>
      <c r="I83" s="2" t="s">
        <v>534</v>
      </c>
    </row>
    <row r="84" spans="1:9" x14ac:dyDescent="0.2">
      <c r="A84" s="2" t="s">
        <v>4</v>
      </c>
      <c r="B84" s="4">
        <v>31</v>
      </c>
      <c r="E84" s="2" t="s">
        <v>535</v>
      </c>
      <c r="F84" s="2" t="s">
        <v>536</v>
      </c>
      <c r="G84" s="2" t="s">
        <v>537</v>
      </c>
      <c r="H84" s="2" t="s">
        <v>538</v>
      </c>
      <c r="I84" s="2" t="s">
        <v>539</v>
      </c>
    </row>
    <row r="85" spans="1:9" x14ac:dyDescent="0.2">
      <c r="A85" s="2" t="s">
        <v>4</v>
      </c>
      <c r="B85" s="4">
        <v>32</v>
      </c>
      <c r="E85" s="2" t="s">
        <v>540</v>
      </c>
      <c r="F85" s="2" t="s">
        <v>541</v>
      </c>
      <c r="G85" s="2" t="s">
        <v>542</v>
      </c>
      <c r="H85" s="2" t="s">
        <v>543</v>
      </c>
      <c r="I85" s="2" t="s">
        <v>544</v>
      </c>
    </row>
    <row r="86" spans="1:9" x14ac:dyDescent="0.2">
      <c r="A86" s="2" t="s">
        <v>4</v>
      </c>
      <c r="B86" s="4">
        <v>33</v>
      </c>
      <c r="E86" s="2" t="s">
        <v>545</v>
      </c>
      <c r="F86" s="2" t="s">
        <v>546</v>
      </c>
      <c r="G86" s="2" t="s">
        <v>547</v>
      </c>
      <c r="H86" s="2" t="s">
        <v>548</v>
      </c>
      <c r="I86" s="2" t="s">
        <v>549</v>
      </c>
    </row>
    <row r="87" spans="1:9" x14ac:dyDescent="0.2">
      <c r="A87" s="2" t="s">
        <v>4</v>
      </c>
      <c r="B87" s="4">
        <v>34</v>
      </c>
      <c r="E87" s="2" t="s">
        <v>550</v>
      </c>
      <c r="F87" s="2" t="s">
        <v>551</v>
      </c>
      <c r="G87" s="2" t="s">
        <v>552</v>
      </c>
      <c r="H87" s="2" t="s">
        <v>553</v>
      </c>
      <c r="I87" s="2" t="s">
        <v>554</v>
      </c>
    </row>
    <row r="88" spans="1:9" x14ac:dyDescent="0.2">
      <c r="A88" s="2" t="s">
        <v>4</v>
      </c>
      <c r="B88" s="4">
        <v>35</v>
      </c>
      <c r="C88" s="2" t="s">
        <v>560</v>
      </c>
      <c r="E88" s="2" t="s">
        <v>555</v>
      </c>
      <c r="F88" s="2" t="s">
        <v>556</v>
      </c>
      <c r="G88" s="2" t="s">
        <v>557</v>
      </c>
      <c r="H88" s="2" t="s">
        <v>558</v>
      </c>
      <c r="I88" s="2" t="s">
        <v>559</v>
      </c>
    </row>
    <row r="89" spans="1:9" x14ac:dyDescent="0.2">
      <c r="A89" s="2" t="s">
        <v>4</v>
      </c>
      <c r="B89" s="4">
        <v>36</v>
      </c>
      <c r="E89" s="2" t="s">
        <v>561</v>
      </c>
      <c r="F89" s="2" t="s">
        <v>562</v>
      </c>
      <c r="G89" s="2" t="s">
        <v>563</v>
      </c>
      <c r="H89" s="2" t="s">
        <v>564</v>
      </c>
      <c r="I89" s="2" t="s">
        <v>565</v>
      </c>
    </row>
    <row r="90" spans="1:9" x14ac:dyDescent="0.2">
      <c r="A90" s="2" t="s">
        <v>4</v>
      </c>
      <c r="B90" s="4">
        <v>37</v>
      </c>
      <c r="E90" s="2" t="s">
        <v>566</v>
      </c>
      <c r="F90" s="2" t="s">
        <v>567</v>
      </c>
      <c r="G90" s="2" t="s">
        <v>568</v>
      </c>
      <c r="H90" s="2" t="s">
        <v>569</v>
      </c>
      <c r="I90" s="2" t="s">
        <v>570</v>
      </c>
    </row>
    <row r="91" spans="1:9" x14ac:dyDescent="0.2">
      <c r="A91" s="2" t="s">
        <v>4</v>
      </c>
      <c r="B91" s="4">
        <v>38</v>
      </c>
      <c r="E91" s="2" t="s">
        <v>571</v>
      </c>
      <c r="F91" s="2" t="s">
        <v>572</v>
      </c>
      <c r="G91" s="2" t="s">
        <v>573</v>
      </c>
      <c r="H91" s="2" t="s">
        <v>574</v>
      </c>
      <c r="I91" s="2" t="s">
        <v>575</v>
      </c>
    </row>
    <row r="92" spans="1:9" x14ac:dyDescent="0.2">
      <c r="A92" s="2" t="s">
        <v>4</v>
      </c>
      <c r="B92" s="4">
        <v>39</v>
      </c>
      <c r="E92" s="2" t="s">
        <v>576</v>
      </c>
      <c r="F92" s="2" t="s">
        <v>577</v>
      </c>
      <c r="G92" s="2" t="s">
        <v>578</v>
      </c>
      <c r="H92" s="2" t="s">
        <v>579</v>
      </c>
      <c r="I92" s="2" t="s">
        <v>580</v>
      </c>
    </row>
    <row r="93" spans="1:9" x14ac:dyDescent="0.2">
      <c r="A93" s="2" t="s">
        <v>4</v>
      </c>
      <c r="B93" s="4">
        <v>40</v>
      </c>
      <c r="C93" s="2" t="s">
        <v>586</v>
      </c>
      <c r="E93" s="2" t="s">
        <v>581</v>
      </c>
      <c r="F93" s="2" t="s">
        <v>582</v>
      </c>
      <c r="G93" s="2" t="s">
        <v>583</v>
      </c>
      <c r="H93" s="2" t="s">
        <v>584</v>
      </c>
      <c r="I93" s="2" t="s">
        <v>585</v>
      </c>
    </row>
    <row r="94" spans="1:9" x14ac:dyDescent="0.2">
      <c r="A94" s="2" t="s">
        <v>5</v>
      </c>
      <c r="B94" s="4">
        <v>1</v>
      </c>
      <c r="E94" s="2" t="s">
        <v>587</v>
      </c>
      <c r="F94" s="2" t="s">
        <v>588</v>
      </c>
      <c r="G94" s="2" t="s">
        <v>589</v>
      </c>
      <c r="H94" s="2" t="s">
        <v>590</v>
      </c>
      <c r="I94" s="2" t="s">
        <v>591</v>
      </c>
    </row>
    <row r="95" spans="1:9" x14ac:dyDescent="0.2">
      <c r="A95" s="2" t="s">
        <v>5</v>
      </c>
      <c r="B95" s="4">
        <v>2</v>
      </c>
      <c r="E95" s="2" t="s">
        <v>592</v>
      </c>
      <c r="F95" s="2" t="s">
        <v>107</v>
      </c>
      <c r="G95" s="2" t="s">
        <v>108</v>
      </c>
      <c r="H95" s="2" t="s">
        <v>109</v>
      </c>
      <c r="I95" s="2" t="s">
        <v>132</v>
      </c>
    </row>
    <row r="96" spans="1:9" x14ac:dyDescent="0.2">
      <c r="A96" s="2" t="s">
        <v>5</v>
      </c>
      <c r="B96" s="4">
        <v>3</v>
      </c>
      <c r="E96" s="2" t="s">
        <v>593</v>
      </c>
      <c r="F96" s="2" t="s">
        <v>594</v>
      </c>
      <c r="G96" s="2" t="s">
        <v>595</v>
      </c>
      <c r="H96" s="2" t="s">
        <v>596</v>
      </c>
      <c r="I96" s="2" t="s">
        <v>597</v>
      </c>
    </row>
    <row r="97" spans="1:9" x14ac:dyDescent="0.2">
      <c r="A97" s="2" t="s">
        <v>5</v>
      </c>
      <c r="B97" s="4">
        <v>4</v>
      </c>
      <c r="E97" s="2" t="s">
        <v>598</v>
      </c>
      <c r="F97" s="2" t="s">
        <v>599</v>
      </c>
      <c r="G97" s="2" t="s">
        <v>600</v>
      </c>
      <c r="H97" s="2" t="s">
        <v>601</v>
      </c>
      <c r="I97" s="2" t="s">
        <v>602</v>
      </c>
    </row>
    <row r="98" spans="1:9" x14ac:dyDescent="0.2">
      <c r="A98" s="2" t="s">
        <v>5</v>
      </c>
      <c r="B98" s="4">
        <v>5</v>
      </c>
      <c r="E98" s="2" t="s">
        <v>603</v>
      </c>
      <c r="F98" s="2" t="s">
        <v>604</v>
      </c>
      <c r="G98" s="2" t="s">
        <v>605</v>
      </c>
      <c r="H98" s="2" t="s">
        <v>606</v>
      </c>
      <c r="I98" s="2" t="s">
        <v>607</v>
      </c>
    </row>
    <row r="99" spans="1:9" x14ac:dyDescent="0.2">
      <c r="A99" s="2" t="s">
        <v>5</v>
      </c>
      <c r="B99" s="4">
        <v>6</v>
      </c>
      <c r="C99" s="2" t="s">
        <v>613</v>
      </c>
      <c r="E99" s="2" t="s">
        <v>608</v>
      </c>
      <c r="F99" s="2" t="s">
        <v>609</v>
      </c>
      <c r="G99" s="2" t="s">
        <v>610</v>
      </c>
      <c r="H99" s="2" t="s">
        <v>611</v>
      </c>
      <c r="I99" s="2" t="s">
        <v>612</v>
      </c>
    </row>
    <row r="100" spans="1:9" x14ac:dyDescent="0.2">
      <c r="A100" s="2" t="s">
        <v>5</v>
      </c>
      <c r="B100" s="4">
        <v>7</v>
      </c>
      <c r="E100" s="2" t="s">
        <v>614</v>
      </c>
      <c r="F100" s="2" t="s">
        <v>615</v>
      </c>
      <c r="G100" s="2" t="s">
        <v>616</v>
      </c>
      <c r="H100" s="2" t="s">
        <v>617</v>
      </c>
      <c r="I100" s="2" t="s">
        <v>618</v>
      </c>
    </row>
    <row r="101" spans="1:9" x14ac:dyDescent="0.2">
      <c r="A101" s="2" t="s">
        <v>5</v>
      </c>
      <c r="B101" s="4">
        <v>8</v>
      </c>
      <c r="E101" s="2" t="s">
        <v>619</v>
      </c>
      <c r="F101" s="2" t="s">
        <v>620</v>
      </c>
      <c r="G101" s="2" t="s">
        <v>621</v>
      </c>
      <c r="H101" s="2" t="s">
        <v>622</v>
      </c>
      <c r="I101" s="2" t="s">
        <v>623</v>
      </c>
    </row>
    <row r="102" spans="1:9" x14ac:dyDescent="0.2">
      <c r="A102" s="2" t="s">
        <v>5</v>
      </c>
      <c r="B102" s="4">
        <v>9</v>
      </c>
      <c r="E102" s="2" t="s">
        <v>624</v>
      </c>
      <c r="F102" s="2" t="s">
        <v>625</v>
      </c>
      <c r="G102" s="2" t="s">
        <v>626</v>
      </c>
      <c r="H102" s="2" t="s">
        <v>627</v>
      </c>
      <c r="I102" s="2" t="s">
        <v>628</v>
      </c>
    </row>
    <row r="103" spans="1:9" x14ac:dyDescent="0.2">
      <c r="A103" s="2" t="s">
        <v>5</v>
      </c>
      <c r="B103" s="4">
        <v>10</v>
      </c>
      <c r="E103" s="2" t="s">
        <v>629</v>
      </c>
      <c r="F103" s="2" t="s">
        <v>630</v>
      </c>
      <c r="G103" s="2" t="s">
        <v>631</v>
      </c>
      <c r="H103" s="2" t="s">
        <v>632</v>
      </c>
      <c r="I103" s="2" t="s">
        <v>633</v>
      </c>
    </row>
    <row r="104" spans="1:9" x14ac:dyDescent="0.2">
      <c r="A104" s="2" t="s">
        <v>5</v>
      </c>
      <c r="B104" s="4">
        <v>11</v>
      </c>
      <c r="E104" s="2" t="s">
        <v>634</v>
      </c>
      <c r="F104" s="2" t="s">
        <v>635</v>
      </c>
      <c r="G104" s="2" t="s">
        <v>636</v>
      </c>
      <c r="H104" s="2" t="s">
        <v>637</v>
      </c>
      <c r="I104" s="2" t="s">
        <v>638</v>
      </c>
    </row>
    <row r="105" spans="1:9" x14ac:dyDescent="0.2">
      <c r="A105" s="2" t="s">
        <v>5</v>
      </c>
      <c r="B105" s="4">
        <v>12</v>
      </c>
      <c r="C105" s="2" t="s">
        <v>639</v>
      </c>
      <c r="E105" s="2" t="s">
        <v>64</v>
      </c>
      <c r="F105" s="2" t="s">
        <v>64</v>
      </c>
      <c r="G105" s="2" t="s">
        <v>64</v>
      </c>
      <c r="H105" s="2" t="s">
        <v>64</v>
      </c>
      <c r="I105" s="2" t="s">
        <v>64</v>
      </c>
    </row>
    <row r="106" spans="1:9" x14ac:dyDescent="0.2">
      <c r="A106" s="2" t="s">
        <v>5</v>
      </c>
      <c r="B106" s="4">
        <v>13</v>
      </c>
      <c r="E106" s="2" t="s">
        <v>640</v>
      </c>
      <c r="F106" s="2" t="s">
        <v>641</v>
      </c>
      <c r="G106" s="2" t="s">
        <v>642</v>
      </c>
      <c r="H106" s="2" t="s">
        <v>643</v>
      </c>
      <c r="I106" s="2" t="s">
        <v>644</v>
      </c>
    </row>
    <row r="107" spans="1:9" x14ac:dyDescent="0.2">
      <c r="A107" s="2" t="s">
        <v>5</v>
      </c>
      <c r="B107" s="4">
        <v>14</v>
      </c>
      <c r="E107" s="2" t="s">
        <v>645</v>
      </c>
      <c r="F107" s="2" t="s">
        <v>646</v>
      </c>
      <c r="G107" s="2" t="s">
        <v>647</v>
      </c>
      <c r="H107" s="2" t="s">
        <v>648</v>
      </c>
      <c r="I107" s="2" t="s">
        <v>649</v>
      </c>
    </row>
    <row r="108" spans="1:9" x14ac:dyDescent="0.2">
      <c r="A108" s="2" t="s">
        <v>5</v>
      </c>
      <c r="B108" s="4">
        <v>15</v>
      </c>
      <c r="E108" s="2" t="s">
        <v>650</v>
      </c>
      <c r="F108" s="2" t="s">
        <v>651</v>
      </c>
      <c r="G108" s="2" t="s">
        <v>652</v>
      </c>
      <c r="H108" s="2" t="s">
        <v>653</v>
      </c>
      <c r="I108" s="2" t="s">
        <v>141</v>
      </c>
    </row>
    <row r="109" spans="1:9" x14ac:dyDescent="0.2">
      <c r="A109" s="2" t="s">
        <v>5</v>
      </c>
      <c r="B109" s="4">
        <v>16</v>
      </c>
      <c r="C109" s="2" t="s">
        <v>105</v>
      </c>
      <c r="E109" s="2" t="s">
        <v>654</v>
      </c>
      <c r="F109" s="2" t="s">
        <v>122</v>
      </c>
      <c r="G109" s="2" t="s">
        <v>107</v>
      </c>
      <c r="H109" s="2" t="s">
        <v>108</v>
      </c>
      <c r="I109" s="2" t="s">
        <v>132</v>
      </c>
    </row>
    <row r="110" spans="1:9" x14ac:dyDescent="0.2">
      <c r="A110" s="2" t="s">
        <v>5</v>
      </c>
      <c r="B110" s="4">
        <v>17</v>
      </c>
      <c r="E110" s="2" t="s">
        <v>655</v>
      </c>
      <c r="F110" s="2" t="s">
        <v>656</v>
      </c>
      <c r="G110" s="2" t="s">
        <v>657</v>
      </c>
      <c r="H110" s="2" t="s">
        <v>658</v>
      </c>
      <c r="I110" s="2" t="s">
        <v>659</v>
      </c>
    </row>
    <row r="111" spans="1:9" x14ac:dyDescent="0.2">
      <c r="A111" s="2" t="s">
        <v>5</v>
      </c>
      <c r="B111" s="4">
        <v>18</v>
      </c>
      <c r="E111" s="2" t="s">
        <v>660</v>
      </c>
      <c r="F111" s="2" t="s">
        <v>102</v>
      </c>
      <c r="G111" s="2" t="s">
        <v>104</v>
      </c>
      <c r="H111" s="2" t="s">
        <v>97</v>
      </c>
      <c r="I111" s="2" t="s">
        <v>100</v>
      </c>
    </row>
    <row r="112" spans="1:9" x14ac:dyDescent="0.2">
      <c r="A112" s="2" t="s">
        <v>5</v>
      </c>
      <c r="B112" s="4">
        <v>19</v>
      </c>
      <c r="E112" s="2" t="s">
        <v>661</v>
      </c>
      <c r="F112" s="2" t="s">
        <v>662</v>
      </c>
      <c r="G112" s="2" t="s">
        <v>663</v>
      </c>
      <c r="H112" s="2" t="s">
        <v>664</v>
      </c>
      <c r="I112" s="2" t="s">
        <v>665</v>
      </c>
    </row>
    <row r="113" spans="1:9" x14ac:dyDescent="0.2">
      <c r="A113" s="2" t="s">
        <v>5</v>
      </c>
      <c r="B113" s="4">
        <v>20</v>
      </c>
      <c r="C113" s="2" t="s">
        <v>671</v>
      </c>
      <c r="E113" s="2" t="s">
        <v>666</v>
      </c>
      <c r="F113" s="2" t="s">
        <v>667</v>
      </c>
      <c r="G113" s="2" t="s">
        <v>668</v>
      </c>
      <c r="H113" s="2" t="s">
        <v>669</v>
      </c>
      <c r="I113" s="2" t="s">
        <v>670</v>
      </c>
    </row>
    <row r="114" spans="1:9" x14ac:dyDescent="0.2">
      <c r="A114" s="2" t="s">
        <v>5</v>
      </c>
      <c r="B114" s="4">
        <v>21</v>
      </c>
      <c r="E114" s="2" t="s">
        <v>672</v>
      </c>
      <c r="F114" s="2" t="s">
        <v>673</v>
      </c>
      <c r="G114" s="2" t="s">
        <v>674</v>
      </c>
      <c r="H114" s="2" t="s">
        <v>675</v>
      </c>
      <c r="I114" s="2" t="s">
        <v>676</v>
      </c>
    </row>
    <row r="115" spans="1:9" x14ac:dyDescent="0.2">
      <c r="A115" s="2" t="s">
        <v>5</v>
      </c>
      <c r="B115" s="4">
        <v>22</v>
      </c>
      <c r="E115" s="2" t="s">
        <v>677</v>
      </c>
      <c r="F115" s="2" t="s">
        <v>678</v>
      </c>
      <c r="G115" s="2" t="s">
        <v>679</v>
      </c>
      <c r="H115" s="2" t="s">
        <v>680</v>
      </c>
      <c r="I115" s="2" t="s">
        <v>681</v>
      </c>
    </row>
    <row r="116" spans="1:9" x14ac:dyDescent="0.2">
      <c r="A116" s="2" t="s">
        <v>5</v>
      </c>
      <c r="B116" s="4">
        <v>23</v>
      </c>
      <c r="E116" s="2" t="s">
        <v>682</v>
      </c>
      <c r="F116" s="2" t="s">
        <v>133</v>
      </c>
      <c r="G116" s="2" t="s">
        <v>115</v>
      </c>
      <c r="H116" s="2" t="s">
        <v>116</v>
      </c>
      <c r="I116" s="2" t="s">
        <v>117</v>
      </c>
    </row>
    <row r="117" spans="1:9" x14ac:dyDescent="0.2">
      <c r="A117" s="2" t="s">
        <v>5</v>
      </c>
      <c r="B117" s="4">
        <v>24</v>
      </c>
      <c r="E117" s="2" t="s">
        <v>683</v>
      </c>
      <c r="F117" s="2" t="s">
        <v>684</v>
      </c>
      <c r="G117" s="2" t="s">
        <v>685</v>
      </c>
      <c r="H117" s="2" t="s">
        <v>686</v>
      </c>
      <c r="I117" s="2" t="s">
        <v>687</v>
      </c>
    </row>
    <row r="118" spans="1:9" x14ac:dyDescent="0.2">
      <c r="A118" s="2" t="s">
        <v>5</v>
      </c>
      <c r="B118" s="4">
        <v>25</v>
      </c>
      <c r="C118" s="2" t="s">
        <v>689</v>
      </c>
      <c r="E118" s="2" t="s">
        <v>688</v>
      </c>
      <c r="F118" s="2" t="s">
        <v>115</v>
      </c>
      <c r="G118" s="2" t="s">
        <v>116</v>
      </c>
      <c r="H118" s="2" t="s">
        <v>117</v>
      </c>
      <c r="I118" s="2" t="s">
        <v>118</v>
      </c>
    </row>
    <row r="119" spans="1:9" x14ac:dyDescent="0.2">
      <c r="A119" s="2" t="s">
        <v>5</v>
      </c>
      <c r="B119" s="4">
        <v>26</v>
      </c>
      <c r="E119" s="2" t="s">
        <v>690</v>
      </c>
      <c r="F119" s="2" t="s">
        <v>691</v>
      </c>
      <c r="G119" s="2" t="s">
        <v>692</v>
      </c>
      <c r="H119" s="2" t="s">
        <v>693</v>
      </c>
      <c r="I119" s="2" t="s">
        <v>694</v>
      </c>
    </row>
    <row r="120" spans="1:9" x14ac:dyDescent="0.2">
      <c r="A120" s="2" t="s">
        <v>5</v>
      </c>
      <c r="B120" s="4">
        <v>27</v>
      </c>
      <c r="E120" s="2" t="s">
        <v>695</v>
      </c>
      <c r="F120" s="2" t="s">
        <v>696</v>
      </c>
      <c r="G120" s="2" t="s">
        <v>697</v>
      </c>
      <c r="H120" s="2" t="s">
        <v>698</v>
      </c>
      <c r="I120" s="2" t="s">
        <v>699</v>
      </c>
    </row>
    <row r="121" spans="1:9" x14ac:dyDescent="0.2">
      <c r="A121" s="2" t="s">
        <v>5</v>
      </c>
      <c r="B121" s="4">
        <v>28</v>
      </c>
      <c r="E121" s="2" t="s">
        <v>700</v>
      </c>
      <c r="F121" s="2" t="s">
        <v>701</v>
      </c>
      <c r="G121" s="2" t="s">
        <v>702</v>
      </c>
      <c r="H121" s="2" t="s">
        <v>703</v>
      </c>
      <c r="I121" s="2" t="s">
        <v>704</v>
      </c>
    </row>
    <row r="122" spans="1:9" x14ac:dyDescent="0.2">
      <c r="A122" s="2" t="s">
        <v>5</v>
      </c>
      <c r="B122" s="4">
        <v>29</v>
      </c>
      <c r="C122" s="2" t="s">
        <v>105</v>
      </c>
      <c r="E122" s="2" t="s">
        <v>705</v>
      </c>
      <c r="F122" s="2" t="s">
        <v>706</v>
      </c>
      <c r="G122" s="2" t="s">
        <v>707</v>
      </c>
      <c r="H122" s="2" t="s">
        <v>708</v>
      </c>
      <c r="I122" s="2" t="s">
        <v>709</v>
      </c>
    </row>
    <row r="123" spans="1:9" x14ac:dyDescent="0.2">
      <c r="A123" s="2" t="s">
        <v>5</v>
      </c>
      <c r="B123" s="4">
        <v>30</v>
      </c>
      <c r="E123" s="2" t="s">
        <v>710</v>
      </c>
      <c r="F123" s="2" t="s">
        <v>711</v>
      </c>
      <c r="G123" s="2" t="s">
        <v>712</v>
      </c>
      <c r="H123" s="2" t="s">
        <v>713</v>
      </c>
      <c r="I123" s="2" t="s">
        <v>714</v>
      </c>
    </row>
    <row r="124" spans="1:9" x14ac:dyDescent="0.2">
      <c r="A124" s="2" t="s">
        <v>5</v>
      </c>
      <c r="B124" s="4">
        <v>31</v>
      </c>
      <c r="E124" s="2" t="s">
        <v>715</v>
      </c>
      <c r="F124" s="2" t="s">
        <v>716</v>
      </c>
      <c r="G124" s="2" t="s">
        <v>717</v>
      </c>
      <c r="H124" s="2" t="s">
        <v>718</v>
      </c>
      <c r="I124" s="2" t="s">
        <v>719</v>
      </c>
    </row>
    <row r="125" spans="1:9" x14ac:dyDescent="0.2">
      <c r="A125" s="2" t="s">
        <v>5</v>
      </c>
      <c r="B125" s="4">
        <v>32</v>
      </c>
      <c r="E125" s="2" t="s">
        <v>720</v>
      </c>
      <c r="F125" s="2" t="s">
        <v>721</v>
      </c>
      <c r="G125" s="2" t="s">
        <v>722</v>
      </c>
      <c r="H125" s="2" t="s">
        <v>723</v>
      </c>
      <c r="I125" s="2" t="s">
        <v>724</v>
      </c>
    </row>
    <row r="126" spans="1:9" x14ac:dyDescent="0.2">
      <c r="A126" s="2" t="s">
        <v>5</v>
      </c>
      <c r="B126" s="4">
        <v>33</v>
      </c>
      <c r="E126" s="2" t="s">
        <v>725</v>
      </c>
      <c r="F126" s="2" t="s">
        <v>726</v>
      </c>
      <c r="G126" s="2" t="s">
        <v>727</v>
      </c>
      <c r="H126" s="2" t="s">
        <v>728</v>
      </c>
      <c r="I126" s="2" t="s">
        <v>729</v>
      </c>
    </row>
    <row r="127" spans="1:9" x14ac:dyDescent="0.2">
      <c r="A127" s="2" t="s">
        <v>5</v>
      </c>
      <c r="B127" s="4">
        <v>34</v>
      </c>
      <c r="E127" s="2" t="s">
        <v>64</v>
      </c>
      <c r="F127" s="2" t="s">
        <v>64</v>
      </c>
      <c r="G127" s="2" t="s">
        <v>64</v>
      </c>
      <c r="H127" s="2" t="s">
        <v>64</v>
      </c>
      <c r="I127" s="2" t="s">
        <v>64</v>
      </c>
    </row>
    <row r="128" spans="1:9" x14ac:dyDescent="0.2">
      <c r="A128" s="2" t="s">
        <v>5</v>
      </c>
      <c r="B128" s="4">
        <v>35</v>
      </c>
      <c r="C128" s="2" t="s">
        <v>730</v>
      </c>
      <c r="E128" s="2" t="s">
        <v>64</v>
      </c>
      <c r="F128" s="2" t="s">
        <v>64</v>
      </c>
      <c r="G128" s="2" t="s">
        <v>64</v>
      </c>
      <c r="H128" s="2" t="s">
        <v>64</v>
      </c>
      <c r="I128" s="2" t="s">
        <v>64</v>
      </c>
    </row>
    <row r="129" spans="1:9" x14ac:dyDescent="0.2">
      <c r="A129" s="2" t="s">
        <v>5</v>
      </c>
      <c r="B129" s="4">
        <v>36</v>
      </c>
      <c r="E129" s="2" t="s">
        <v>731</v>
      </c>
      <c r="F129" s="2" t="s">
        <v>732</v>
      </c>
      <c r="G129" s="2" t="s">
        <v>733</v>
      </c>
      <c r="H129" s="2" t="s">
        <v>734</v>
      </c>
      <c r="I129" s="2" t="s">
        <v>735</v>
      </c>
    </row>
    <row r="130" spans="1:9" x14ac:dyDescent="0.2">
      <c r="A130" s="2" t="s">
        <v>5</v>
      </c>
      <c r="B130" s="4">
        <v>37</v>
      </c>
      <c r="E130" s="2" t="s">
        <v>736</v>
      </c>
      <c r="F130" s="2" t="s">
        <v>101</v>
      </c>
      <c r="G130" s="2" t="s">
        <v>101</v>
      </c>
      <c r="H130" s="2" t="s">
        <v>101</v>
      </c>
      <c r="I130" s="2" t="s">
        <v>101</v>
      </c>
    </row>
    <row r="131" spans="1:9" x14ac:dyDescent="0.2">
      <c r="A131" s="2" t="s">
        <v>5</v>
      </c>
      <c r="B131" s="4">
        <v>38</v>
      </c>
      <c r="E131" s="2" t="s">
        <v>737</v>
      </c>
      <c r="F131" s="2" t="s">
        <v>738</v>
      </c>
      <c r="G131" s="2" t="s">
        <v>739</v>
      </c>
      <c r="H131" s="2" t="s">
        <v>740</v>
      </c>
      <c r="I131" s="2" t="s">
        <v>741</v>
      </c>
    </row>
    <row r="132" spans="1:9" x14ac:dyDescent="0.2">
      <c r="A132" s="2" t="s">
        <v>5</v>
      </c>
      <c r="B132" s="4">
        <v>39</v>
      </c>
      <c r="E132" s="2" t="s">
        <v>742</v>
      </c>
      <c r="F132" s="2" t="s">
        <v>743</v>
      </c>
      <c r="G132" s="2" t="s">
        <v>744</v>
      </c>
      <c r="H132" s="2" t="s">
        <v>745</v>
      </c>
      <c r="I132" s="2" t="s">
        <v>746</v>
      </c>
    </row>
    <row r="133" spans="1:9" x14ac:dyDescent="0.2">
      <c r="A133" s="2" t="s">
        <v>5</v>
      </c>
      <c r="B133" s="4">
        <v>40</v>
      </c>
      <c r="E133" s="2" t="s">
        <v>747</v>
      </c>
      <c r="F133" s="2" t="s">
        <v>748</v>
      </c>
      <c r="G133" s="2" t="s">
        <v>749</v>
      </c>
      <c r="H133" s="2" t="s">
        <v>750</v>
      </c>
      <c r="I133" s="2" t="s">
        <v>751</v>
      </c>
    </row>
    <row r="134" spans="1:9" x14ac:dyDescent="0.2">
      <c r="A134" s="2" t="s">
        <v>5</v>
      </c>
      <c r="B134" s="4">
        <v>41</v>
      </c>
      <c r="E134" s="2" t="s">
        <v>752</v>
      </c>
      <c r="F134" s="2" t="s">
        <v>753</v>
      </c>
      <c r="G134" s="2" t="s">
        <v>754</v>
      </c>
      <c r="H134" s="2" t="s">
        <v>755</v>
      </c>
      <c r="I134" s="2" t="s">
        <v>756</v>
      </c>
    </row>
    <row r="135" spans="1:9" x14ac:dyDescent="0.2">
      <c r="A135" s="2" t="s">
        <v>5</v>
      </c>
      <c r="B135" s="4">
        <v>42</v>
      </c>
      <c r="C135" s="2" t="s">
        <v>762</v>
      </c>
      <c r="E135" s="2" t="s">
        <v>757</v>
      </c>
      <c r="F135" s="2" t="s">
        <v>758</v>
      </c>
      <c r="G135" s="2" t="s">
        <v>759</v>
      </c>
      <c r="H135" s="2" t="s">
        <v>760</v>
      </c>
      <c r="I135" s="2" t="s">
        <v>761</v>
      </c>
    </row>
    <row r="136" spans="1:9" x14ac:dyDescent="0.2">
      <c r="A136" s="2" t="s">
        <v>5</v>
      </c>
      <c r="B136" s="4">
        <v>43</v>
      </c>
      <c r="E136" s="2" t="s">
        <v>763</v>
      </c>
      <c r="F136" s="2" t="s">
        <v>101</v>
      </c>
      <c r="G136" s="2" t="s">
        <v>101</v>
      </c>
      <c r="H136" s="2" t="s">
        <v>101</v>
      </c>
      <c r="I136" s="2" t="s">
        <v>101</v>
      </c>
    </row>
    <row r="137" spans="1:9" x14ac:dyDescent="0.2">
      <c r="A137" s="2" t="s">
        <v>5</v>
      </c>
      <c r="B137" s="4">
        <v>44</v>
      </c>
      <c r="E137" s="2" t="s">
        <v>764</v>
      </c>
      <c r="F137" s="2" t="s">
        <v>134</v>
      </c>
      <c r="G137" s="2" t="s">
        <v>107</v>
      </c>
      <c r="H137" s="2" t="s">
        <v>108</v>
      </c>
      <c r="I137" s="2" t="s">
        <v>132</v>
      </c>
    </row>
    <row r="138" spans="1:9" x14ac:dyDescent="0.2">
      <c r="A138" s="2" t="s">
        <v>5</v>
      </c>
      <c r="B138" s="4">
        <v>45</v>
      </c>
      <c r="E138" s="2" t="s">
        <v>765</v>
      </c>
      <c r="F138" s="2" t="s">
        <v>766</v>
      </c>
      <c r="G138" s="2" t="s">
        <v>767</v>
      </c>
      <c r="H138" s="2" t="s">
        <v>768</v>
      </c>
      <c r="I138" s="2" t="s">
        <v>769</v>
      </c>
    </row>
    <row r="139" spans="1:9" x14ac:dyDescent="0.2">
      <c r="A139" s="2" t="s">
        <v>5</v>
      </c>
      <c r="B139" s="4">
        <v>46</v>
      </c>
      <c r="E139" s="2" t="s">
        <v>770</v>
      </c>
      <c r="F139" s="2" t="s">
        <v>771</v>
      </c>
      <c r="G139" s="2" t="s">
        <v>772</v>
      </c>
      <c r="H139" s="2" t="s">
        <v>773</v>
      </c>
      <c r="I139" s="2" t="s">
        <v>774</v>
      </c>
    </row>
    <row r="140" spans="1:9" x14ac:dyDescent="0.2">
      <c r="A140" s="2" t="s">
        <v>5</v>
      </c>
      <c r="B140" s="4">
        <v>47</v>
      </c>
      <c r="C140" s="2" t="s">
        <v>780</v>
      </c>
      <c r="E140" s="2" t="s">
        <v>775</v>
      </c>
      <c r="F140" s="2" t="s">
        <v>776</v>
      </c>
      <c r="G140" s="2" t="s">
        <v>777</v>
      </c>
      <c r="H140" s="2" t="s">
        <v>778</v>
      </c>
      <c r="I140" s="2" t="s">
        <v>779</v>
      </c>
    </row>
    <row r="141" spans="1:9" x14ac:dyDescent="0.2">
      <c r="A141" s="2" t="s">
        <v>5</v>
      </c>
      <c r="B141" s="4">
        <v>48</v>
      </c>
      <c r="E141" s="2" t="s">
        <v>781</v>
      </c>
      <c r="F141" s="2" t="s">
        <v>782</v>
      </c>
      <c r="G141" s="2" t="s">
        <v>783</v>
      </c>
      <c r="H141" s="2" t="s">
        <v>784</v>
      </c>
      <c r="I141" s="2" t="s">
        <v>785</v>
      </c>
    </row>
    <row r="142" spans="1:9" x14ac:dyDescent="0.2">
      <c r="A142" s="2" t="s">
        <v>5</v>
      </c>
      <c r="B142" s="4">
        <v>49</v>
      </c>
      <c r="E142" s="2" t="s">
        <v>786</v>
      </c>
      <c r="F142" s="2" t="s">
        <v>787</v>
      </c>
      <c r="G142" s="2" t="s">
        <v>788</v>
      </c>
      <c r="H142" s="2" t="s">
        <v>789</v>
      </c>
      <c r="I142" s="2" t="s">
        <v>790</v>
      </c>
    </row>
    <row r="143" spans="1:9" x14ac:dyDescent="0.2">
      <c r="A143" s="2" t="s">
        <v>5</v>
      </c>
      <c r="B143" s="4">
        <v>50</v>
      </c>
      <c r="E143" s="2" t="s">
        <v>791</v>
      </c>
      <c r="F143" s="2" t="s">
        <v>792</v>
      </c>
      <c r="G143" s="2" t="s">
        <v>793</v>
      </c>
      <c r="H143" s="2" t="s">
        <v>794</v>
      </c>
      <c r="I143" s="2" t="s">
        <v>795</v>
      </c>
    </row>
    <row r="144" spans="1:9" x14ac:dyDescent="0.2">
      <c r="A144" s="2" t="s">
        <v>5</v>
      </c>
      <c r="B144" s="4">
        <v>51</v>
      </c>
      <c r="E144" s="2" t="s">
        <v>796</v>
      </c>
      <c r="F144" s="2" t="s">
        <v>797</v>
      </c>
      <c r="G144" s="2" t="s">
        <v>798</v>
      </c>
      <c r="H144" s="2" t="s">
        <v>799</v>
      </c>
      <c r="I144" s="2" t="s">
        <v>800</v>
      </c>
    </row>
    <row r="145" spans="1:9" x14ac:dyDescent="0.2">
      <c r="A145" s="2" t="s">
        <v>5</v>
      </c>
      <c r="B145" s="4">
        <v>52</v>
      </c>
      <c r="C145" s="2" t="s">
        <v>105</v>
      </c>
      <c r="E145" s="2" t="s">
        <v>801</v>
      </c>
      <c r="F145" s="2" t="s">
        <v>102</v>
      </c>
      <c r="G145" s="2" t="s">
        <v>98</v>
      </c>
      <c r="H145" s="2" t="s">
        <v>99</v>
      </c>
      <c r="I145" s="2" t="s">
        <v>100</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5"/>
  <sheetViews>
    <sheetView tabSelected="1" workbookViewId="0">
      <selection activeCell="A5" sqref="A5"/>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31" s="13" customFormat="1" x14ac:dyDescent="0.2">
      <c r="A1" s="11" t="s">
        <v>27</v>
      </c>
      <c r="B1" s="12" t="s">
        <v>18</v>
      </c>
      <c r="C1" s="11" t="s">
        <v>22</v>
      </c>
      <c r="D1" s="11" t="s">
        <v>58</v>
      </c>
      <c r="E1" s="12" t="s">
        <v>113</v>
      </c>
      <c r="F1" s="12" t="s">
        <v>19</v>
      </c>
      <c r="G1" s="12" t="s">
        <v>20</v>
      </c>
    </row>
    <row r="2" spans="1:31" x14ac:dyDescent="0.2">
      <c r="A2" s="2" t="s">
        <v>114</v>
      </c>
      <c r="B2" s="2" t="s">
        <v>21</v>
      </c>
      <c r="C2" s="2" t="s">
        <v>26</v>
      </c>
      <c r="D2" s="2" t="s">
        <v>59</v>
      </c>
      <c r="E2" s="2">
        <v>38</v>
      </c>
      <c r="F2" s="2">
        <v>13</v>
      </c>
      <c r="G2" s="2" t="s">
        <v>956</v>
      </c>
      <c r="AE2" s="2">
        <v>25</v>
      </c>
    </row>
    <row r="3" spans="1:31" x14ac:dyDescent="0.2">
      <c r="A3" s="2" t="s">
        <v>114</v>
      </c>
      <c r="B3" s="2" t="s">
        <v>4</v>
      </c>
      <c r="C3" s="2" t="s">
        <v>24</v>
      </c>
      <c r="D3" s="2" t="s">
        <v>60</v>
      </c>
      <c r="E3" s="2">
        <v>12</v>
      </c>
      <c r="F3" s="2">
        <v>5</v>
      </c>
      <c r="G3" s="2" t="s">
        <v>954</v>
      </c>
      <c r="AE3" s="2">
        <v>8</v>
      </c>
    </row>
    <row r="4" spans="1:31" x14ac:dyDescent="0.2">
      <c r="A4" s="2" t="s">
        <v>114</v>
      </c>
      <c r="B4" s="2" t="s">
        <v>5</v>
      </c>
      <c r="C4" s="2" t="s">
        <v>25</v>
      </c>
      <c r="D4" s="2" t="s">
        <v>61</v>
      </c>
      <c r="E4" s="2">
        <v>13</v>
      </c>
      <c r="F4" s="2">
        <v>3</v>
      </c>
      <c r="G4" s="2" t="s">
        <v>955</v>
      </c>
      <c r="AE4" s="2">
        <v>11</v>
      </c>
    </row>
    <row r="5" spans="1:31" x14ac:dyDescent="0.2">
      <c r="A5" s="2" t="s">
        <v>114</v>
      </c>
      <c r="B5" s="2" t="s">
        <v>3</v>
      </c>
      <c r="C5" s="2" t="s">
        <v>23</v>
      </c>
      <c r="D5" s="2" t="s">
        <v>62</v>
      </c>
      <c r="E5" s="2">
        <v>13</v>
      </c>
      <c r="F5" s="2">
        <v>5</v>
      </c>
      <c r="G5" s="2" t="s">
        <v>953</v>
      </c>
      <c r="AE5" s="2">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93"/>
  <sheetViews>
    <sheetView workbookViewId="0">
      <selection activeCell="D2" sqref="D2"/>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6" t="s">
        <v>77</v>
      </c>
      <c r="B1" s="16" t="s">
        <v>2</v>
      </c>
      <c r="C1" s="16" t="s">
        <v>110</v>
      </c>
      <c r="D1" s="16" t="s">
        <v>111</v>
      </c>
      <c r="E1" s="16" t="s">
        <v>65</v>
      </c>
      <c r="F1" s="16" t="s">
        <v>112</v>
      </c>
    </row>
    <row r="2" spans="1:6" x14ac:dyDescent="0.2">
      <c r="A2" s="2" t="s">
        <v>114</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114</v>
      </c>
      <c r="B3" s="2" t="s">
        <v>21</v>
      </c>
      <c r="C3" s="2">
        <v>2</v>
      </c>
      <c r="D3" s="2">
        <v>0</v>
      </c>
      <c r="E3" s="2">
        <v>2</v>
      </c>
      <c r="F3" s="2" t="str">
        <f t="shared" si="0"/>
        <v>0th</v>
      </c>
    </row>
    <row r="4" spans="1:6" x14ac:dyDescent="0.2">
      <c r="A4" s="2" t="s">
        <v>114</v>
      </c>
      <c r="B4" s="2" t="s">
        <v>21</v>
      </c>
      <c r="C4" s="2">
        <v>3</v>
      </c>
      <c r="D4" s="2">
        <v>0</v>
      </c>
      <c r="E4" s="2">
        <v>3</v>
      </c>
      <c r="F4" s="2" t="str">
        <f t="shared" si="0"/>
        <v>0th</v>
      </c>
    </row>
    <row r="5" spans="1:6" x14ac:dyDescent="0.2">
      <c r="A5" s="2" t="s">
        <v>114</v>
      </c>
      <c r="B5" s="2" t="s">
        <v>21</v>
      </c>
      <c r="C5" s="2">
        <v>4</v>
      </c>
      <c r="D5" s="2">
        <v>0</v>
      </c>
      <c r="E5" s="2">
        <v>4</v>
      </c>
      <c r="F5" s="2" t="str">
        <f t="shared" si="0"/>
        <v>0th</v>
      </c>
    </row>
    <row r="6" spans="1:6" x14ac:dyDescent="0.2">
      <c r="A6" s="2" t="s">
        <v>114</v>
      </c>
      <c r="B6" s="2" t="s">
        <v>21</v>
      </c>
      <c r="C6" s="2">
        <v>5</v>
      </c>
      <c r="D6" s="2">
        <v>0</v>
      </c>
      <c r="E6" s="2">
        <v>5</v>
      </c>
      <c r="F6" s="2" t="str">
        <f t="shared" si="0"/>
        <v>0th</v>
      </c>
    </row>
    <row r="7" spans="1:6" x14ac:dyDescent="0.2">
      <c r="A7" s="2" t="s">
        <v>114</v>
      </c>
      <c r="B7" s="2" t="s">
        <v>21</v>
      </c>
      <c r="C7" s="2">
        <v>6</v>
      </c>
      <c r="D7" s="2">
        <v>0.1</v>
      </c>
      <c r="E7" s="2">
        <v>6</v>
      </c>
      <c r="F7" s="2" t="str">
        <f t="shared" si="0"/>
        <v>0th</v>
      </c>
    </row>
    <row r="8" spans="1:6" x14ac:dyDescent="0.2">
      <c r="A8" s="2" t="s">
        <v>114</v>
      </c>
      <c r="B8" s="2" t="s">
        <v>21</v>
      </c>
      <c r="C8" s="2">
        <v>7</v>
      </c>
      <c r="D8" s="2">
        <v>0.3</v>
      </c>
      <c r="E8" s="2">
        <v>7</v>
      </c>
      <c r="F8" s="2" t="str">
        <f t="shared" si="0"/>
        <v>0th</v>
      </c>
    </row>
    <row r="9" spans="1:6" x14ac:dyDescent="0.2">
      <c r="A9" s="2" t="s">
        <v>114</v>
      </c>
      <c r="B9" s="2" t="s">
        <v>21</v>
      </c>
      <c r="C9" s="2">
        <v>8</v>
      </c>
      <c r="D9" s="2">
        <v>0.6</v>
      </c>
      <c r="E9" s="2">
        <v>8</v>
      </c>
      <c r="F9" s="2" t="str">
        <f t="shared" si="0"/>
        <v>1st</v>
      </c>
    </row>
    <row r="10" spans="1:6" x14ac:dyDescent="0.2">
      <c r="A10" s="2" t="s">
        <v>114</v>
      </c>
      <c r="B10" s="2" t="s">
        <v>21</v>
      </c>
      <c r="C10" s="2">
        <v>9</v>
      </c>
      <c r="D10" s="2">
        <v>1</v>
      </c>
      <c r="E10" s="2">
        <v>9</v>
      </c>
      <c r="F10" s="2" t="str">
        <f t="shared" si="0"/>
        <v>1st</v>
      </c>
    </row>
    <row r="11" spans="1:6" x14ac:dyDescent="0.2">
      <c r="A11" s="2" t="s">
        <v>114</v>
      </c>
      <c r="B11" s="2" t="s">
        <v>21</v>
      </c>
      <c r="C11" s="2">
        <v>10</v>
      </c>
      <c r="D11" s="2">
        <v>1.5</v>
      </c>
      <c r="E11" s="2">
        <v>10</v>
      </c>
      <c r="F11" s="2" t="str">
        <f t="shared" si="0"/>
        <v>2nd</v>
      </c>
    </row>
    <row r="12" spans="1:6" x14ac:dyDescent="0.2">
      <c r="A12" s="2" t="s">
        <v>114</v>
      </c>
      <c r="B12" s="2" t="s">
        <v>21</v>
      </c>
      <c r="C12" s="2">
        <v>11</v>
      </c>
      <c r="D12" s="2">
        <v>2.2000000000000002</v>
      </c>
      <c r="E12" s="2">
        <v>11</v>
      </c>
      <c r="F12" s="2" t="str">
        <f t="shared" si="0"/>
        <v>2nd</v>
      </c>
    </row>
    <row r="13" spans="1:6" x14ac:dyDescent="0.2">
      <c r="A13" s="2" t="s">
        <v>114</v>
      </c>
      <c r="B13" s="2" t="s">
        <v>21</v>
      </c>
      <c r="C13" s="2">
        <v>12</v>
      </c>
      <c r="D13" s="2">
        <v>3.1</v>
      </c>
      <c r="E13" s="2">
        <v>12</v>
      </c>
      <c r="F13" s="2" t="str">
        <f t="shared" si="0"/>
        <v>3rd</v>
      </c>
    </row>
    <row r="14" spans="1:6" x14ac:dyDescent="0.2">
      <c r="A14" s="2" t="s">
        <v>114</v>
      </c>
      <c r="B14" s="2" t="s">
        <v>21</v>
      </c>
      <c r="C14" s="2">
        <v>13</v>
      </c>
      <c r="D14" s="2">
        <v>4.2</v>
      </c>
      <c r="E14" s="2">
        <v>13</v>
      </c>
      <c r="F14" s="2" t="str">
        <f t="shared" si="0"/>
        <v>4th</v>
      </c>
    </row>
    <row r="15" spans="1:6" x14ac:dyDescent="0.2">
      <c r="A15" s="2" t="s">
        <v>114</v>
      </c>
      <c r="B15" s="2" t="s">
        <v>21</v>
      </c>
      <c r="C15" s="2">
        <v>14</v>
      </c>
      <c r="D15" s="2">
        <v>5.5</v>
      </c>
      <c r="E15" s="2">
        <v>14</v>
      </c>
      <c r="F15" s="2" t="str">
        <f t="shared" si="0"/>
        <v>6th</v>
      </c>
    </row>
    <row r="16" spans="1:6" x14ac:dyDescent="0.2">
      <c r="A16" s="2" t="s">
        <v>114</v>
      </c>
      <c r="B16" s="2" t="s">
        <v>21</v>
      </c>
      <c r="C16" s="2">
        <v>15</v>
      </c>
      <c r="D16" s="2">
        <v>7.2</v>
      </c>
      <c r="E16" s="2">
        <v>15</v>
      </c>
      <c r="F16" s="2" t="str">
        <f t="shared" si="0"/>
        <v>7th</v>
      </c>
    </row>
    <row r="17" spans="1:6" x14ac:dyDescent="0.2">
      <c r="A17" s="2" t="s">
        <v>114</v>
      </c>
      <c r="B17" s="2" t="s">
        <v>21</v>
      </c>
      <c r="C17" s="2">
        <v>16</v>
      </c>
      <c r="D17" s="2">
        <v>9.1999999999999993</v>
      </c>
      <c r="E17" s="2">
        <v>16</v>
      </c>
      <c r="F17" s="2" t="str">
        <f t="shared" si="0"/>
        <v>9th</v>
      </c>
    </row>
    <row r="18" spans="1:6" x14ac:dyDescent="0.2">
      <c r="A18" s="2" t="s">
        <v>114</v>
      </c>
      <c r="B18" s="2" t="s">
        <v>21</v>
      </c>
      <c r="C18" s="2">
        <v>17</v>
      </c>
      <c r="D18" s="2">
        <v>11.5</v>
      </c>
      <c r="E18" s="2">
        <v>17</v>
      </c>
      <c r="F18" s="2" t="str">
        <f t="shared" ref="F18:F46" si="1">IF(RIGHT(ROUND(D18,0),2)="13",ROUND(D18,0)&amp;"th",IF(RIGHT(ROUND(D18,0),2)="12",ROUND(D18,0)&amp;"th",IF(RIGHT(ROUND(D18,0),2)="11",ROUND(D18,0)&amp;"th",IF(RIGHT(ROUND(D18,0),1)="1",ROUND(D18,0)&amp;"st",IF(RIGHT(ROUND(D18,0),1)="2",ROUND(D18,0)&amp;"nd",IF(RIGHT(ROUND(D18,0),1)="3",ROUND(D18,0)&amp;"rd",ROUND(D18,0)&amp;"th"))))))</f>
        <v>12th</v>
      </c>
    </row>
    <row r="19" spans="1:6" x14ac:dyDescent="0.2">
      <c r="A19" s="2" t="s">
        <v>114</v>
      </c>
      <c r="B19" s="2" t="s">
        <v>21</v>
      </c>
      <c r="C19" s="2">
        <v>18</v>
      </c>
      <c r="D19" s="2">
        <v>14.2</v>
      </c>
      <c r="E19" s="2">
        <v>18</v>
      </c>
      <c r="F19" s="2" t="str">
        <f t="shared" si="1"/>
        <v>14th</v>
      </c>
    </row>
    <row r="20" spans="1:6" x14ac:dyDescent="0.2">
      <c r="A20" s="2" t="s">
        <v>114</v>
      </c>
      <c r="B20" s="2" t="s">
        <v>21</v>
      </c>
      <c r="C20" s="2">
        <v>19</v>
      </c>
      <c r="D20" s="2">
        <v>17.399999999999999</v>
      </c>
      <c r="E20" s="2">
        <v>19</v>
      </c>
      <c r="F20" s="2" t="str">
        <f t="shared" si="1"/>
        <v>17th</v>
      </c>
    </row>
    <row r="21" spans="1:6" x14ac:dyDescent="0.2">
      <c r="A21" s="2" t="s">
        <v>114</v>
      </c>
      <c r="B21" s="2" t="s">
        <v>21</v>
      </c>
      <c r="C21" s="2">
        <v>20</v>
      </c>
      <c r="D21" s="2">
        <v>21.1</v>
      </c>
      <c r="E21" s="2">
        <v>20</v>
      </c>
      <c r="F21" s="2" t="str">
        <f t="shared" si="1"/>
        <v>21st</v>
      </c>
    </row>
    <row r="22" spans="1:6" x14ac:dyDescent="0.2">
      <c r="A22" s="2" t="s">
        <v>114</v>
      </c>
      <c r="B22" s="2" t="s">
        <v>21</v>
      </c>
      <c r="C22" s="2">
        <v>21</v>
      </c>
      <c r="D22" s="2">
        <v>25.3</v>
      </c>
      <c r="E22" s="2">
        <v>21</v>
      </c>
      <c r="F22" s="2" t="str">
        <f t="shared" si="1"/>
        <v>25th</v>
      </c>
    </row>
    <row r="23" spans="1:6" x14ac:dyDescent="0.2">
      <c r="A23" s="2" t="s">
        <v>114</v>
      </c>
      <c r="B23" s="2" t="s">
        <v>21</v>
      </c>
      <c r="C23" s="2">
        <v>22</v>
      </c>
      <c r="D23" s="2">
        <v>29.9</v>
      </c>
      <c r="E23" s="2">
        <v>22</v>
      </c>
      <c r="F23" s="2" t="str">
        <f t="shared" si="1"/>
        <v>30th</v>
      </c>
    </row>
    <row r="24" spans="1:6" x14ac:dyDescent="0.2">
      <c r="A24" s="2" t="s">
        <v>114</v>
      </c>
      <c r="B24" s="2" t="s">
        <v>21</v>
      </c>
      <c r="C24" s="2">
        <v>23</v>
      </c>
      <c r="D24" s="2">
        <v>35.1</v>
      </c>
      <c r="E24" s="2">
        <v>23</v>
      </c>
      <c r="F24" s="2" t="str">
        <f t="shared" si="1"/>
        <v>35th</v>
      </c>
    </row>
    <row r="25" spans="1:6" x14ac:dyDescent="0.2">
      <c r="A25" s="2" t="s">
        <v>114</v>
      </c>
      <c r="B25" s="2" t="s">
        <v>21</v>
      </c>
      <c r="C25" s="2">
        <v>24</v>
      </c>
      <c r="D25" s="2">
        <v>40.799999999999997</v>
      </c>
      <c r="E25" s="2">
        <v>24</v>
      </c>
      <c r="F25" s="2" t="str">
        <f t="shared" si="1"/>
        <v>41st</v>
      </c>
    </row>
    <row r="26" spans="1:6" x14ac:dyDescent="0.2">
      <c r="A26" s="2" t="s">
        <v>114</v>
      </c>
      <c r="B26" s="2" t="s">
        <v>21</v>
      </c>
      <c r="C26" s="2">
        <v>25</v>
      </c>
      <c r="D26" s="2">
        <v>46.9</v>
      </c>
      <c r="E26" s="2">
        <v>25</v>
      </c>
      <c r="F26" s="2" t="str">
        <f t="shared" si="1"/>
        <v>47th</v>
      </c>
    </row>
    <row r="27" spans="1:6" x14ac:dyDescent="0.2">
      <c r="A27" s="2" t="s">
        <v>114</v>
      </c>
      <c r="B27" s="2" t="s">
        <v>21</v>
      </c>
      <c r="C27" s="2">
        <v>26</v>
      </c>
      <c r="D27" s="2">
        <v>53.1</v>
      </c>
      <c r="E27" s="2">
        <v>26</v>
      </c>
      <c r="F27" s="2" t="str">
        <f t="shared" si="1"/>
        <v>53rd</v>
      </c>
    </row>
    <row r="28" spans="1:6" x14ac:dyDescent="0.2">
      <c r="A28" s="2" t="s">
        <v>114</v>
      </c>
      <c r="B28" s="2" t="s">
        <v>21</v>
      </c>
      <c r="C28" s="2">
        <v>27</v>
      </c>
      <c r="D28" s="2">
        <v>59.3</v>
      </c>
      <c r="E28" s="2">
        <v>27</v>
      </c>
      <c r="F28" s="2" t="str">
        <f t="shared" si="1"/>
        <v>59th</v>
      </c>
    </row>
    <row r="29" spans="1:6" x14ac:dyDescent="0.2">
      <c r="A29" s="2" t="s">
        <v>114</v>
      </c>
      <c r="B29" s="2" t="s">
        <v>21</v>
      </c>
      <c r="C29" s="2">
        <v>28</v>
      </c>
      <c r="D29" s="2">
        <v>65.5</v>
      </c>
      <c r="E29" s="2">
        <v>28</v>
      </c>
      <c r="F29" s="2" t="str">
        <f t="shared" si="1"/>
        <v>66th</v>
      </c>
    </row>
    <row r="30" spans="1:6" x14ac:dyDescent="0.2">
      <c r="A30" s="2" t="s">
        <v>114</v>
      </c>
      <c r="B30" s="2" t="s">
        <v>21</v>
      </c>
      <c r="C30" s="2">
        <v>29</v>
      </c>
      <c r="D30" s="2">
        <v>71.400000000000006</v>
      </c>
      <c r="E30" s="2">
        <v>29</v>
      </c>
      <c r="F30" s="2" t="str">
        <f t="shared" si="1"/>
        <v>71st</v>
      </c>
    </row>
    <row r="31" spans="1:6" x14ac:dyDescent="0.2">
      <c r="A31" s="2" t="s">
        <v>114</v>
      </c>
      <c r="B31" s="2" t="s">
        <v>21</v>
      </c>
      <c r="C31" s="2">
        <v>30</v>
      </c>
      <c r="D31" s="2">
        <v>76.900000000000006</v>
      </c>
      <c r="E31" s="2">
        <v>30</v>
      </c>
      <c r="F31" s="2" t="str">
        <f t="shared" si="1"/>
        <v>77th</v>
      </c>
    </row>
    <row r="32" spans="1:6" x14ac:dyDescent="0.2">
      <c r="A32" s="2" t="s">
        <v>114</v>
      </c>
      <c r="B32" s="2" t="s">
        <v>21</v>
      </c>
      <c r="C32" s="2">
        <v>31</v>
      </c>
      <c r="D32" s="2">
        <v>81.8</v>
      </c>
      <c r="E32" s="2">
        <v>31</v>
      </c>
      <c r="F32" s="2" t="str">
        <f t="shared" si="1"/>
        <v>82nd</v>
      </c>
    </row>
    <row r="33" spans="1:6" x14ac:dyDescent="0.2">
      <c r="A33" s="2" t="s">
        <v>114</v>
      </c>
      <c r="B33" s="2" t="s">
        <v>21</v>
      </c>
      <c r="C33" s="2">
        <v>32</v>
      </c>
      <c r="D33" s="2">
        <v>86</v>
      </c>
      <c r="E33" s="2">
        <v>32</v>
      </c>
      <c r="F33" s="2" t="str">
        <f t="shared" si="1"/>
        <v>86th</v>
      </c>
    </row>
    <row r="34" spans="1:6" x14ac:dyDescent="0.2">
      <c r="A34" s="2" t="s">
        <v>114</v>
      </c>
      <c r="B34" s="2" t="s">
        <v>21</v>
      </c>
      <c r="C34" s="2">
        <v>33</v>
      </c>
      <c r="D34" s="2">
        <v>89.6</v>
      </c>
      <c r="E34" s="2">
        <v>33</v>
      </c>
      <c r="F34" s="2" t="str">
        <f t="shared" si="1"/>
        <v>90th</v>
      </c>
    </row>
    <row r="35" spans="1:6" x14ac:dyDescent="0.2">
      <c r="A35" s="2" t="s">
        <v>114</v>
      </c>
      <c r="B35" s="2" t="s">
        <v>21</v>
      </c>
      <c r="C35" s="2">
        <v>34</v>
      </c>
      <c r="D35" s="2">
        <v>92.4</v>
      </c>
      <c r="E35" s="2">
        <v>34</v>
      </c>
      <c r="F35" s="2" t="str">
        <f t="shared" si="1"/>
        <v>92nd</v>
      </c>
    </row>
    <row r="36" spans="1:6" x14ac:dyDescent="0.2">
      <c r="A36" s="2" t="s">
        <v>114</v>
      </c>
      <c r="B36" s="2" t="s">
        <v>21</v>
      </c>
      <c r="C36" s="2">
        <v>35</v>
      </c>
      <c r="D36" s="2">
        <v>94.7</v>
      </c>
      <c r="E36" s="2">
        <v>35</v>
      </c>
      <c r="F36" s="2" t="str">
        <f t="shared" si="1"/>
        <v>95th</v>
      </c>
    </row>
    <row r="37" spans="1:6" x14ac:dyDescent="0.2">
      <c r="A37" s="2" t="s">
        <v>114</v>
      </c>
      <c r="B37" s="2" t="s">
        <v>21</v>
      </c>
      <c r="C37" s="2">
        <v>36</v>
      </c>
      <c r="D37" s="2">
        <v>96.5</v>
      </c>
      <c r="E37" s="2">
        <v>36</v>
      </c>
      <c r="F37" s="2" t="str">
        <f t="shared" si="1"/>
        <v>97th</v>
      </c>
    </row>
    <row r="38" spans="1:6" x14ac:dyDescent="0.2">
      <c r="A38" s="2" t="s">
        <v>114</v>
      </c>
      <c r="B38" s="2" t="s">
        <v>21</v>
      </c>
      <c r="C38" s="2">
        <v>37</v>
      </c>
      <c r="D38" s="2">
        <v>97.8</v>
      </c>
      <c r="E38" s="2">
        <v>37</v>
      </c>
      <c r="F38" s="2" t="str">
        <f t="shared" si="1"/>
        <v>98th</v>
      </c>
    </row>
    <row r="39" spans="1:6" x14ac:dyDescent="0.2">
      <c r="A39" s="2" t="s">
        <v>114</v>
      </c>
      <c r="B39" s="2" t="s">
        <v>21</v>
      </c>
      <c r="C39" s="2">
        <v>38</v>
      </c>
      <c r="D39" s="2">
        <v>98.7</v>
      </c>
      <c r="E39" s="2">
        <v>38</v>
      </c>
      <c r="F39" s="2" t="str">
        <f t="shared" si="1"/>
        <v>99th</v>
      </c>
    </row>
    <row r="40" spans="1:6" x14ac:dyDescent="0.2">
      <c r="A40" s="2" t="s">
        <v>114</v>
      </c>
      <c r="B40" s="2" t="s">
        <v>21</v>
      </c>
      <c r="C40" s="2">
        <v>39</v>
      </c>
      <c r="D40" s="2">
        <v>99.3</v>
      </c>
      <c r="E40" s="2">
        <v>39</v>
      </c>
      <c r="F40" s="2" t="str">
        <f t="shared" si="1"/>
        <v>99th</v>
      </c>
    </row>
    <row r="41" spans="1:6" x14ac:dyDescent="0.2">
      <c r="A41" s="2" t="s">
        <v>114</v>
      </c>
      <c r="B41" s="2" t="s">
        <v>21</v>
      </c>
      <c r="C41" s="2">
        <v>40</v>
      </c>
      <c r="D41" s="2">
        <v>99.6</v>
      </c>
      <c r="E41" s="2">
        <v>40</v>
      </c>
      <c r="F41" s="2" t="str">
        <f t="shared" si="1"/>
        <v>100th</v>
      </c>
    </row>
    <row r="42" spans="1:6" x14ac:dyDescent="0.2">
      <c r="A42" s="2" t="s">
        <v>114</v>
      </c>
      <c r="B42" s="2" t="s">
        <v>21</v>
      </c>
      <c r="C42" s="2">
        <v>41</v>
      </c>
      <c r="D42" s="2">
        <v>99.9</v>
      </c>
      <c r="E42" s="2">
        <v>41</v>
      </c>
      <c r="F42" s="2" t="str">
        <f t="shared" si="1"/>
        <v>100th</v>
      </c>
    </row>
    <row r="43" spans="1:6" x14ac:dyDescent="0.2">
      <c r="A43" s="2" t="s">
        <v>114</v>
      </c>
      <c r="B43" s="2" t="s">
        <v>21</v>
      </c>
      <c r="C43" s="2">
        <v>42</v>
      </c>
      <c r="D43" s="2">
        <v>99.9</v>
      </c>
      <c r="E43" s="2">
        <v>42</v>
      </c>
      <c r="F43" s="2" t="str">
        <f t="shared" si="1"/>
        <v>100th</v>
      </c>
    </row>
    <row r="44" spans="1:6" x14ac:dyDescent="0.2">
      <c r="A44" s="2" t="s">
        <v>114</v>
      </c>
      <c r="B44" s="2" t="s">
        <v>21</v>
      </c>
      <c r="C44" s="2">
        <v>43</v>
      </c>
      <c r="D44" s="2">
        <v>99.9</v>
      </c>
      <c r="E44" s="2">
        <v>43</v>
      </c>
      <c r="F44" s="2" t="str">
        <f t="shared" si="1"/>
        <v>100th</v>
      </c>
    </row>
    <row r="45" spans="1:6" x14ac:dyDescent="0.2">
      <c r="A45" s="2" t="s">
        <v>114</v>
      </c>
      <c r="B45" s="2" t="s">
        <v>21</v>
      </c>
      <c r="C45" s="2">
        <v>44</v>
      </c>
      <c r="D45" s="2">
        <v>99.9</v>
      </c>
      <c r="E45" s="2">
        <v>44</v>
      </c>
      <c r="F45" s="2" t="str">
        <f t="shared" si="1"/>
        <v>100th</v>
      </c>
    </row>
    <row r="46" spans="1:6" x14ac:dyDescent="0.2">
      <c r="A46" s="2" t="s">
        <v>114</v>
      </c>
      <c r="B46" s="2" t="s">
        <v>21</v>
      </c>
      <c r="C46" s="2">
        <v>45</v>
      </c>
      <c r="D46" s="2">
        <v>99.9</v>
      </c>
      <c r="E46" s="2">
        <v>45</v>
      </c>
      <c r="F46" s="2" t="str">
        <f t="shared" si="1"/>
        <v>100th</v>
      </c>
    </row>
    <row r="47" spans="1:6" x14ac:dyDescent="0.2">
      <c r="A47" s="2" t="s">
        <v>114</v>
      </c>
      <c r="B47" s="2" t="s">
        <v>3</v>
      </c>
      <c r="C47" s="2">
        <v>0</v>
      </c>
      <c r="D47" s="2">
        <v>0.1</v>
      </c>
      <c r="E47" s="2">
        <v>1</v>
      </c>
      <c r="F47" s="2" t="str">
        <f t="shared" ref="F47:F50" si="2">IF(RIGHT(ROUND(D47,0),2)="13",ROUND(D47,0)&amp;"th",IF(RIGHT(ROUND(D47,0),2)="12",ROUND(D47,0)&amp;"th",IF(RIGHT(ROUND(D47,0),2)="11",ROUND(D47,0)&amp;"th",IF(RIGHT(ROUND(D47,0),1)="1",ROUND(D47,0)&amp;"st",IF(RIGHT(ROUND(D47,0),1)="2",ROUND(D47,0)&amp;"nd",IF(RIGHT(ROUND(D47,0),1)="3",ROUND(D47,0)&amp;"rd",ROUND(D47,0)&amp;"th"))))))</f>
        <v>0th</v>
      </c>
    </row>
    <row r="48" spans="1:6" x14ac:dyDescent="0.2">
      <c r="A48" s="2" t="s">
        <v>114</v>
      </c>
      <c r="B48" s="2" t="s">
        <v>3</v>
      </c>
      <c r="C48" s="2">
        <v>1</v>
      </c>
      <c r="D48" s="2">
        <v>0.1</v>
      </c>
      <c r="E48" s="2">
        <v>1</v>
      </c>
      <c r="F48" s="2" t="str">
        <f t="shared" si="2"/>
        <v>0th</v>
      </c>
    </row>
    <row r="49" spans="1:6" x14ac:dyDescent="0.2">
      <c r="A49" s="2" t="s">
        <v>114</v>
      </c>
      <c r="B49" s="2" t="s">
        <v>3</v>
      </c>
      <c r="C49" s="2">
        <v>2</v>
      </c>
      <c r="D49" s="2">
        <v>0.1</v>
      </c>
      <c r="E49" s="2">
        <v>1</v>
      </c>
      <c r="F49" s="2" t="str">
        <f t="shared" si="2"/>
        <v>0th</v>
      </c>
    </row>
    <row r="50" spans="1:6" x14ac:dyDescent="0.2">
      <c r="A50" s="2" t="s">
        <v>114</v>
      </c>
      <c r="B50" s="2" t="s">
        <v>3</v>
      </c>
      <c r="C50" s="2">
        <v>3</v>
      </c>
      <c r="D50" s="2">
        <v>0.3</v>
      </c>
      <c r="E50" s="2">
        <v>2</v>
      </c>
      <c r="F50" s="2" t="str">
        <f t="shared" si="2"/>
        <v>0th</v>
      </c>
    </row>
    <row r="51" spans="1:6" x14ac:dyDescent="0.2">
      <c r="A51" s="2" t="s">
        <v>114</v>
      </c>
      <c r="B51" s="2" t="s">
        <v>3</v>
      </c>
      <c r="C51" s="2">
        <v>4</v>
      </c>
      <c r="D51" s="2">
        <v>0.3</v>
      </c>
      <c r="E51" s="2">
        <v>2</v>
      </c>
      <c r="F51" s="2" t="str">
        <f t="shared" ref="F51:F114" si="3">IF(RIGHT(ROUND(D51,0),2)="13",ROUND(D51,0)&amp;"th",IF(RIGHT(ROUND(D51,0),2)="12",ROUND(D51,0)&amp;"th",IF(RIGHT(ROUND(D51,0),2)="11",ROUND(D51,0)&amp;"th",IF(RIGHT(ROUND(D51,0),1)="1",ROUND(D51,0)&amp;"st",IF(RIGHT(ROUND(D51,0),1)="2",ROUND(D51,0)&amp;"nd",IF(RIGHT(ROUND(D51,0),1)="3",ROUND(D51,0)&amp;"rd",ROUND(D51,0)&amp;"th"))))))</f>
        <v>0th</v>
      </c>
    </row>
    <row r="52" spans="1:6" x14ac:dyDescent="0.2">
      <c r="A52" s="2" t="s">
        <v>114</v>
      </c>
      <c r="B52" s="2" t="s">
        <v>3</v>
      </c>
      <c r="C52" s="2">
        <v>5</v>
      </c>
      <c r="D52" s="2">
        <v>0.3</v>
      </c>
      <c r="E52" s="2">
        <v>2</v>
      </c>
      <c r="F52" s="2" t="str">
        <f t="shared" si="3"/>
        <v>0th</v>
      </c>
    </row>
    <row r="53" spans="1:6" x14ac:dyDescent="0.2">
      <c r="A53" s="2" t="s">
        <v>114</v>
      </c>
      <c r="B53" s="2" t="s">
        <v>3</v>
      </c>
      <c r="C53" s="2">
        <v>6</v>
      </c>
      <c r="D53" s="2">
        <v>0.3</v>
      </c>
      <c r="E53" s="2">
        <v>2</v>
      </c>
      <c r="F53" s="2" t="str">
        <f t="shared" si="3"/>
        <v>0th</v>
      </c>
    </row>
    <row r="54" spans="1:6" x14ac:dyDescent="0.2">
      <c r="A54" s="2" t="s">
        <v>114</v>
      </c>
      <c r="B54" s="2" t="s">
        <v>3</v>
      </c>
      <c r="C54" s="2">
        <v>7</v>
      </c>
      <c r="D54" s="2">
        <v>1.2</v>
      </c>
      <c r="E54" s="2">
        <v>3</v>
      </c>
      <c r="F54" s="2" t="str">
        <f t="shared" si="3"/>
        <v>1st</v>
      </c>
    </row>
    <row r="55" spans="1:6" x14ac:dyDescent="0.2">
      <c r="A55" s="2" t="s">
        <v>114</v>
      </c>
      <c r="B55" s="2" t="s">
        <v>3</v>
      </c>
      <c r="C55" s="2">
        <v>8</v>
      </c>
      <c r="D55" s="2">
        <v>1.2</v>
      </c>
      <c r="E55" s="2">
        <v>3</v>
      </c>
      <c r="F55" s="2" t="str">
        <f t="shared" si="3"/>
        <v>1st</v>
      </c>
    </row>
    <row r="56" spans="1:6" x14ac:dyDescent="0.2">
      <c r="A56" s="2" t="s">
        <v>114</v>
      </c>
      <c r="B56" s="2" t="s">
        <v>3</v>
      </c>
      <c r="C56" s="2">
        <v>9</v>
      </c>
      <c r="D56" s="2">
        <v>1.2</v>
      </c>
      <c r="E56" s="2">
        <v>3</v>
      </c>
      <c r="F56" s="2" t="str">
        <f t="shared" si="3"/>
        <v>1st</v>
      </c>
    </row>
    <row r="57" spans="1:6" x14ac:dyDescent="0.2">
      <c r="A57" s="2" t="s">
        <v>114</v>
      </c>
      <c r="B57" s="2" t="s">
        <v>3</v>
      </c>
      <c r="C57" s="2">
        <v>10</v>
      </c>
      <c r="D57" s="2">
        <v>3.4</v>
      </c>
      <c r="E57" s="2">
        <v>4</v>
      </c>
      <c r="F57" s="2" t="str">
        <f t="shared" si="3"/>
        <v>3rd</v>
      </c>
    </row>
    <row r="58" spans="1:6" x14ac:dyDescent="0.2">
      <c r="A58" s="2" t="s">
        <v>114</v>
      </c>
      <c r="B58" s="2" t="s">
        <v>3</v>
      </c>
      <c r="C58" s="2">
        <v>11</v>
      </c>
      <c r="D58" s="2">
        <v>3.4</v>
      </c>
      <c r="E58" s="2">
        <v>4</v>
      </c>
      <c r="F58" s="2" t="str">
        <f t="shared" si="3"/>
        <v>3rd</v>
      </c>
    </row>
    <row r="59" spans="1:6" x14ac:dyDescent="0.2">
      <c r="A59" s="2" t="s">
        <v>114</v>
      </c>
      <c r="B59" s="2" t="s">
        <v>3</v>
      </c>
      <c r="C59" s="2">
        <v>12</v>
      </c>
      <c r="D59" s="2">
        <v>8.1</v>
      </c>
      <c r="E59" s="2">
        <v>5</v>
      </c>
      <c r="F59" s="2" t="str">
        <f t="shared" si="3"/>
        <v>8th</v>
      </c>
    </row>
    <row r="60" spans="1:6" x14ac:dyDescent="0.2">
      <c r="A60" s="2" t="s">
        <v>114</v>
      </c>
      <c r="B60" s="2" t="s">
        <v>3</v>
      </c>
      <c r="C60" s="2">
        <v>13</v>
      </c>
      <c r="D60" s="2">
        <v>8.1</v>
      </c>
      <c r="E60" s="2">
        <v>5</v>
      </c>
      <c r="F60" s="2" t="str">
        <f t="shared" si="3"/>
        <v>8th</v>
      </c>
    </row>
    <row r="61" spans="1:6" x14ac:dyDescent="0.2">
      <c r="A61" s="2" t="s">
        <v>114</v>
      </c>
      <c r="B61" s="2" t="s">
        <v>3</v>
      </c>
      <c r="C61" s="2">
        <v>14</v>
      </c>
      <c r="D61" s="2">
        <v>8.1</v>
      </c>
      <c r="E61" s="2">
        <v>5</v>
      </c>
      <c r="F61" s="2" t="str">
        <f t="shared" si="3"/>
        <v>8th</v>
      </c>
    </row>
    <row r="62" spans="1:6" x14ac:dyDescent="0.2">
      <c r="A62" s="2" t="s">
        <v>114</v>
      </c>
      <c r="B62" s="2" t="s">
        <v>3</v>
      </c>
      <c r="C62" s="2">
        <v>15</v>
      </c>
      <c r="D62" s="2">
        <v>17.399999999999999</v>
      </c>
      <c r="E62" s="2">
        <v>6</v>
      </c>
      <c r="F62" s="2" t="str">
        <f t="shared" si="3"/>
        <v>17th</v>
      </c>
    </row>
    <row r="63" spans="1:6" x14ac:dyDescent="0.2">
      <c r="A63" s="2" t="s">
        <v>114</v>
      </c>
      <c r="B63" s="2" t="s">
        <v>3</v>
      </c>
      <c r="C63" s="2">
        <v>16</v>
      </c>
      <c r="D63" s="2">
        <v>17.399999999999999</v>
      </c>
      <c r="E63" s="2">
        <v>6</v>
      </c>
      <c r="F63" s="2" t="str">
        <f t="shared" si="3"/>
        <v>17th</v>
      </c>
    </row>
    <row r="64" spans="1:6" x14ac:dyDescent="0.2">
      <c r="A64" s="2" t="s">
        <v>114</v>
      </c>
      <c r="B64" s="2" t="s">
        <v>3</v>
      </c>
      <c r="C64" s="2">
        <v>17</v>
      </c>
      <c r="D64" s="2">
        <v>17.399999999999999</v>
      </c>
      <c r="E64" s="2">
        <v>6</v>
      </c>
      <c r="F64" s="2" t="str">
        <f t="shared" si="3"/>
        <v>17th</v>
      </c>
    </row>
    <row r="65" spans="1:6" x14ac:dyDescent="0.2">
      <c r="A65" s="2" t="s">
        <v>114</v>
      </c>
      <c r="B65" s="2" t="s">
        <v>3</v>
      </c>
      <c r="C65" s="2">
        <v>18</v>
      </c>
      <c r="D65" s="2">
        <v>31</v>
      </c>
      <c r="E65" s="2">
        <v>7</v>
      </c>
      <c r="F65" s="2" t="str">
        <f t="shared" si="3"/>
        <v>31st</v>
      </c>
    </row>
    <row r="66" spans="1:6" x14ac:dyDescent="0.2">
      <c r="A66" s="2" t="s">
        <v>114</v>
      </c>
      <c r="B66" s="2" t="s">
        <v>3</v>
      </c>
      <c r="C66" s="2">
        <v>19</v>
      </c>
      <c r="D66" s="2">
        <v>31</v>
      </c>
      <c r="E66" s="2">
        <v>7</v>
      </c>
      <c r="F66" s="2" t="str">
        <f t="shared" si="3"/>
        <v>31st</v>
      </c>
    </row>
    <row r="67" spans="1:6" x14ac:dyDescent="0.2">
      <c r="A67" s="2" t="s">
        <v>114</v>
      </c>
      <c r="B67" s="2" t="s">
        <v>3</v>
      </c>
      <c r="C67" s="2">
        <v>20</v>
      </c>
      <c r="D67" s="2">
        <v>31</v>
      </c>
      <c r="E67" s="2">
        <v>7</v>
      </c>
      <c r="F67" s="2" t="str">
        <f t="shared" si="3"/>
        <v>31st</v>
      </c>
    </row>
    <row r="68" spans="1:6" x14ac:dyDescent="0.2">
      <c r="A68" s="2" t="s">
        <v>114</v>
      </c>
      <c r="B68" s="2" t="s">
        <v>3</v>
      </c>
      <c r="C68" s="2">
        <v>21</v>
      </c>
      <c r="D68" s="2">
        <v>47.6</v>
      </c>
      <c r="E68" s="2">
        <v>8</v>
      </c>
      <c r="F68" s="2" t="str">
        <f t="shared" si="3"/>
        <v>48th</v>
      </c>
    </row>
    <row r="69" spans="1:6" x14ac:dyDescent="0.2">
      <c r="A69" s="2" t="s">
        <v>114</v>
      </c>
      <c r="B69" s="2" t="s">
        <v>3</v>
      </c>
      <c r="C69" s="2">
        <v>22</v>
      </c>
      <c r="D69" s="2">
        <v>47.6</v>
      </c>
      <c r="E69" s="2">
        <v>8</v>
      </c>
      <c r="F69" s="2" t="str">
        <f t="shared" si="3"/>
        <v>48th</v>
      </c>
    </row>
    <row r="70" spans="1:6" x14ac:dyDescent="0.2">
      <c r="A70" s="2" t="s">
        <v>114</v>
      </c>
      <c r="B70" s="2" t="s">
        <v>3</v>
      </c>
      <c r="C70" s="2">
        <v>23</v>
      </c>
      <c r="D70" s="2">
        <v>47.6</v>
      </c>
      <c r="E70" s="2">
        <v>8</v>
      </c>
      <c r="F70" s="2" t="str">
        <f t="shared" si="3"/>
        <v>48th</v>
      </c>
    </row>
    <row r="71" spans="1:6" x14ac:dyDescent="0.2">
      <c r="A71" s="2" t="s">
        <v>114</v>
      </c>
      <c r="B71" s="2" t="s">
        <v>3</v>
      </c>
      <c r="C71" s="2">
        <v>24</v>
      </c>
      <c r="D71" s="2">
        <v>61.6</v>
      </c>
      <c r="E71" s="2">
        <v>9</v>
      </c>
      <c r="F71" s="2" t="str">
        <f t="shared" si="3"/>
        <v>62nd</v>
      </c>
    </row>
    <row r="72" spans="1:6" x14ac:dyDescent="0.2">
      <c r="A72" s="2" t="s">
        <v>114</v>
      </c>
      <c r="B72" s="2" t="s">
        <v>3</v>
      </c>
      <c r="C72" s="2">
        <v>25</v>
      </c>
      <c r="D72" s="2">
        <v>61.6</v>
      </c>
      <c r="E72" s="2">
        <v>9</v>
      </c>
      <c r="F72" s="2" t="str">
        <f t="shared" si="3"/>
        <v>62nd</v>
      </c>
    </row>
    <row r="73" spans="1:6" x14ac:dyDescent="0.2">
      <c r="A73" s="2" t="s">
        <v>114</v>
      </c>
      <c r="B73" s="2" t="s">
        <v>3</v>
      </c>
      <c r="C73" s="2">
        <v>26</v>
      </c>
      <c r="D73" s="2">
        <v>61.6</v>
      </c>
      <c r="E73" s="2">
        <v>9</v>
      </c>
      <c r="F73" s="2" t="str">
        <f t="shared" si="3"/>
        <v>62nd</v>
      </c>
    </row>
    <row r="74" spans="1:6" x14ac:dyDescent="0.2">
      <c r="A74" s="2" t="s">
        <v>114</v>
      </c>
      <c r="B74" s="2" t="s">
        <v>3</v>
      </c>
      <c r="C74" s="2">
        <v>27</v>
      </c>
      <c r="D74" s="2">
        <v>61.6</v>
      </c>
      <c r="E74" s="2">
        <v>9</v>
      </c>
      <c r="F74" s="2" t="str">
        <f t="shared" si="3"/>
        <v>62nd</v>
      </c>
    </row>
    <row r="75" spans="1:6" x14ac:dyDescent="0.2">
      <c r="A75" s="2" t="s">
        <v>114</v>
      </c>
      <c r="B75" s="2" t="s">
        <v>3</v>
      </c>
      <c r="C75" s="2">
        <v>28</v>
      </c>
      <c r="D75" s="2">
        <v>74</v>
      </c>
      <c r="E75" s="2">
        <v>10</v>
      </c>
      <c r="F75" s="2" t="str">
        <f t="shared" si="3"/>
        <v>74th</v>
      </c>
    </row>
    <row r="76" spans="1:6" x14ac:dyDescent="0.2">
      <c r="A76" s="2" t="s">
        <v>114</v>
      </c>
      <c r="B76" s="2" t="s">
        <v>3</v>
      </c>
      <c r="C76" s="2">
        <v>29</v>
      </c>
      <c r="D76" s="2">
        <v>74</v>
      </c>
      <c r="E76" s="2">
        <v>10</v>
      </c>
      <c r="F76" s="2" t="str">
        <f t="shared" si="3"/>
        <v>74th</v>
      </c>
    </row>
    <row r="77" spans="1:6" x14ac:dyDescent="0.2">
      <c r="A77" s="2" t="s">
        <v>114</v>
      </c>
      <c r="B77" s="2" t="s">
        <v>3</v>
      </c>
      <c r="C77" s="2">
        <v>30</v>
      </c>
      <c r="D77" s="2">
        <v>74</v>
      </c>
      <c r="E77" s="2">
        <v>10</v>
      </c>
      <c r="F77" s="2" t="str">
        <f t="shared" si="3"/>
        <v>74th</v>
      </c>
    </row>
    <row r="78" spans="1:6" x14ac:dyDescent="0.2">
      <c r="A78" s="2" t="s">
        <v>114</v>
      </c>
      <c r="B78" s="2" t="s">
        <v>3</v>
      </c>
      <c r="C78" s="2">
        <v>31</v>
      </c>
      <c r="D78" s="2">
        <v>74</v>
      </c>
      <c r="E78" s="2">
        <v>10</v>
      </c>
      <c r="F78" s="2" t="str">
        <f t="shared" si="3"/>
        <v>74th</v>
      </c>
    </row>
    <row r="79" spans="1:6" x14ac:dyDescent="0.2">
      <c r="A79" s="2" t="s">
        <v>114</v>
      </c>
      <c r="B79" s="2" t="s">
        <v>3</v>
      </c>
      <c r="C79" s="2">
        <v>32</v>
      </c>
      <c r="D79" s="2">
        <v>84.8</v>
      </c>
      <c r="E79" s="2">
        <v>11</v>
      </c>
      <c r="F79" s="2" t="str">
        <f t="shared" si="3"/>
        <v>85th</v>
      </c>
    </row>
    <row r="80" spans="1:6" x14ac:dyDescent="0.2">
      <c r="A80" s="2" t="s">
        <v>114</v>
      </c>
      <c r="B80" s="2" t="s">
        <v>3</v>
      </c>
      <c r="C80" s="2">
        <v>33</v>
      </c>
      <c r="D80" s="2">
        <v>84.8</v>
      </c>
      <c r="E80" s="2">
        <v>11</v>
      </c>
      <c r="F80" s="2" t="str">
        <f t="shared" si="3"/>
        <v>85th</v>
      </c>
    </row>
    <row r="81" spans="1:6" x14ac:dyDescent="0.2">
      <c r="A81" s="2" t="s">
        <v>114</v>
      </c>
      <c r="B81" s="2" t="s">
        <v>3</v>
      </c>
      <c r="C81" s="2">
        <v>34</v>
      </c>
      <c r="D81" s="2">
        <v>84.8</v>
      </c>
      <c r="E81" s="2">
        <v>11</v>
      </c>
      <c r="F81" s="2" t="str">
        <f t="shared" si="3"/>
        <v>85th</v>
      </c>
    </row>
    <row r="82" spans="1:6" x14ac:dyDescent="0.2">
      <c r="A82" s="2" t="s">
        <v>114</v>
      </c>
      <c r="B82" s="2" t="s">
        <v>3</v>
      </c>
      <c r="C82" s="2">
        <v>35</v>
      </c>
      <c r="D82" s="2">
        <v>91.9</v>
      </c>
      <c r="E82" s="2">
        <v>12</v>
      </c>
      <c r="F82" s="2" t="str">
        <f t="shared" si="3"/>
        <v>92nd</v>
      </c>
    </row>
    <row r="83" spans="1:6" x14ac:dyDescent="0.2">
      <c r="A83" s="2" t="s">
        <v>114</v>
      </c>
      <c r="B83" s="2" t="s">
        <v>3</v>
      </c>
      <c r="C83" s="2">
        <v>36</v>
      </c>
      <c r="D83" s="2">
        <v>91.9</v>
      </c>
      <c r="E83" s="2">
        <v>12</v>
      </c>
      <c r="F83" s="2" t="str">
        <f t="shared" si="3"/>
        <v>92nd</v>
      </c>
    </row>
    <row r="84" spans="1:6" x14ac:dyDescent="0.2">
      <c r="A84" s="2" t="s">
        <v>114</v>
      </c>
      <c r="B84" s="2" t="s">
        <v>3</v>
      </c>
      <c r="C84" s="2">
        <v>37</v>
      </c>
      <c r="D84" s="2">
        <v>91.9</v>
      </c>
      <c r="E84" s="2">
        <v>12</v>
      </c>
      <c r="F84" s="2" t="str">
        <f t="shared" si="3"/>
        <v>92nd</v>
      </c>
    </row>
    <row r="85" spans="1:6" x14ac:dyDescent="0.2">
      <c r="A85" s="2" t="s">
        <v>114</v>
      </c>
      <c r="B85" s="2" t="s">
        <v>3</v>
      </c>
      <c r="C85" s="2">
        <v>38</v>
      </c>
      <c r="D85" s="2">
        <v>96.4</v>
      </c>
      <c r="E85" s="2">
        <v>13</v>
      </c>
      <c r="F85" s="2" t="str">
        <f t="shared" si="3"/>
        <v>96th</v>
      </c>
    </row>
    <row r="86" spans="1:6" x14ac:dyDescent="0.2">
      <c r="A86" s="2" t="s">
        <v>114</v>
      </c>
      <c r="B86" s="2" t="s">
        <v>3</v>
      </c>
      <c r="C86" s="2">
        <v>39</v>
      </c>
      <c r="D86" s="2">
        <v>96.4</v>
      </c>
      <c r="E86" s="2">
        <v>13</v>
      </c>
      <c r="F86" s="2" t="str">
        <f t="shared" si="3"/>
        <v>96th</v>
      </c>
    </row>
    <row r="87" spans="1:6" x14ac:dyDescent="0.2">
      <c r="A87" s="2" t="s">
        <v>114</v>
      </c>
      <c r="B87" s="2" t="s">
        <v>3</v>
      </c>
      <c r="C87" s="2">
        <v>40</v>
      </c>
      <c r="D87" s="2">
        <v>96.4</v>
      </c>
      <c r="E87" s="2">
        <v>13</v>
      </c>
      <c r="F87" s="2" t="str">
        <f t="shared" si="3"/>
        <v>96th</v>
      </c>
    </row>
    <row r="88" spans="1:6" x14ac:dyDescent="0.2">
      <c r="A88" s="2" t="s">
        <v>114</v>
      </c>
      <c r="B88" s="2" t="s">
        <v>3</v>
      </c>
      <c r="C88" s="2">
        <v>41</v>
      </c>
      <c r="D88" s="2">
        <v>98.9</v>
      </c>
      <c r="E88" s="2">
        <v>14</v>
      </c>
      <c r="F88" s="2" t="str">
        <f t="shared" si="3"/>
        <v>99th</v>
      </c>
    </row>
    <row r="89" spans="1:6" x14ac:dyDescent="0.2">
      <c r="A89" s="2" t="s">
        <v>114</v>
      </c>
      <c r="B89" s="2" t="s">
        <v>3</v>
      </c>
      <c r="C89" s="2">
        <v>42</v>
      </c>
      <c r="D89" s="2">
        <v>98.9</v>
      </c>
      <c r="E89" s="2">
        <v>14</v>
      </c>
      <c r="F89" s="2" t="str">
        <f t="shared" si="3"/>
        <v>99th</v>
      </c>
    </row>
    <row r="90" spans="1:6" x14ac:dyDescent="0.2">
      <c r="A90" s="2" t="s">
        <v>114</v>
      </c>
      <c r="B90" s="2" t="s">
        <v>3</v>
      </c>
      <c r="C90" s="2">
        <v>43</v>
      </c>
      <c r="D90" s="2">
        <v>98.9</v>
      </c>
      <c r="E90" s="2">
        <v>14</v>
      </c>
      <c r="F90" s="2" t="str">
        <f t="shared" si="3"/>
        <v>99th</v>
      </c>
    </row>
    <row r="91" spans="1:6" x14ac:dyDescent="0.2">
      <c r="A91" s="2" t="s">
        <v>114</v>
      </c>
      <c r="B91" s="2" t="s">
        <v>3</v>
      </c>
      <c r="C91" s="2">
        <v>44</v>
      </c>
      <c r="D91" s="2">
        <v>98.9</v>
      </c>
      <c r="E91" s="2">
        <v>14</v>
      </c>
      <c r="F91" s="2" t="str">
        <f t="shared" si="3"/>
        <v>99th</v>
      </c>
    </row>
    <row r="92" spans="1:6" x14ac:dyDescent="0.2">
      <c r="A92" s="2" t="s">
        <v>114</v>
      </c>
      <c r="B92" s="2" t="s">
        <v>3</v>
      </c>
      <c r="C92" s="2">
        <v>45</v>
      </c>
      <c r="D92" s="2">
        <v>98.9</v>
      </c>
      <c r="E92" s="2">
        <v>14</v>
      </c>
      <c r="F92" s="2" t="str">
        <f t="shared" si="3"/>
        <v>99th</v>
      </c>
    </row>
    <row r="93" spans="1:6" x14ac:dyDescent="0.2">
      <c r="A93" s="2" t="s">
        <v>114</v>
      </c>
      <c r="B93" s="2" t="s">
        <v>3</v>
      </c>
      <c r="C93" s="2">
        <v>46</v>
      </c>
      <c r="D93" s="2">
        <v>98.9</v>
      </c>
      <c r="E93" s="2">
        <v>14</v>
      </c>
      <c r="F93" s="2" t="str">
        <f t="shared" si="3"/>
        <v>99th</v>
      </c>
    </row>
    <row r="94" spans="1:6" x14ac:dyDescent="0.2">
      <c r="A94" s="2" t="s">
        <v>114</v>
      </c>
      <c r="B94" s="2" t="s">
        <v>3</v>
      </c>
      <c r="C94" s="2">
        <v>47</v>
      </c>
      <c r="D94" s="2">
        <v>99.8</v>
      </c>
      <c r="E94" s="2">
        <v>15</v>
      </c>
      <c r="F94" s="2" t="str">
        <f t="shared" si="3"/>
        <v>100th</v>
      </c>
    </row>
    <row r="95" spans="1:6" x14ac:dyDescent="0.2">
      <c r="A95" s="2" t="s">
        <v>114</v>
      </c>
      <c r="B95" s="2" t="s">
        <v>3</v>
      </c>
      <c r="C95" s="2">
        <v>48</v>
      </c>
      <c r="D95" s="2">
        <v>99.8</v>
      </c>
      <c r="E95" s="2">
        <v>15</v>
      </c>
      <c r="F95" s="2" t="str">
        <f t="shared" si="3"/>
        <v>100th</v>
      </c>
    </row>
    <row r="96" spans="1:6" x14ac:dyDescent="0.2">
      <c r="A96" s="2" t="s">
        <v>114</v>
      </c>
      <c r="B96" s="2" t="s">
        <v>3</v>
      </c>
      <c r="C96" s="2">
        <v>49</v>
      </c>
      <c r="D96" s="2">
        <v>99.8</v>
      </c>
      <c r="E96" s="2">
        <v>15</v>
      </c>
      <c r="F96" s="2" t="str">
        <f t="shared" si="3"/>
        <v>100th</v>
      </c>
    </row>
    <row r="97" spans="1:6" x14ac:dyDescent="0.2">
      <c r="A97" s="2" t="s">
        <v>114</v>
      </c>
      <c r="B97" s="2" t="s">
        <v>3</v>
      </c>
      <c r="C97" s="2">
        <v>50</v>
      </c>
      <c r="D97" s="2">
        <v>99.8</v>
      </c>
      <c r="E97" s="2">
        <v>15</v>
      </c>
      <c r="F97" s="2" t="str">
        <f t="shared" si="3"/>
        <v>100th</v>
      </c>
    </row>
    <row r="98" spans="1:6" x14ac:dyDescent="0.2">
      <c r="A98" s="2" t="s">
        <v>114</v>
      </c>
      <c r="B98" s="2" t="s">
        <v>3</v>
      </c>
      <c r="C98" s="2">
        <v>51</v>
      </c>
      <c r="D98" s="2">
        <v>99.8</v>
      </c>
      <c r="E98" s="2">
        <v>15</v>
      </c>
      <c r="F98" s="2" t="str">
        <f t="shared" si="3"/>
        <v>100th</v>
      </c>
    </row>
    <row r="99" spans="1:6" x14ac:dyDescent="0.2">
      <c r="A99" s="2" t="s">
        <v>114</v>
      </c>
      <c r="B99" s="2" t="s">
        <v>3</v>
      </c>
      <c r="C99" s="2">
        <v>52</v>
      </c>
      <c r="D99" s="2">
        <v>99.8</v>
      </c>
      <c r="E99" s="2">
        <v>15</v>
      </c>
      <c r="F99" s="2" t="str">
        <f t="shared" si="3"/>
        <v>100th</v>
      </c>
    </row>
    <row r="100" spans="1:6" x14ac:dyDescent="0.2">
      <c r="A100" s="2" t="s">
        <v>114</v>
      </c>
      <c r="B100" s="2" t="s">
        <v>4</v>
      </c>
      <c r="C100" s="2">
        <v>0</v>
      </c>
      <c r="D100" s="2">
        <v>0.4</v>
      </c>
      <c r="E100" s="2">
        <v>1</v>
      </c>
      <c r="F100" s="2" t="str">
        <f t="shared" si="3"/>
        <v>0th</v>
      </c>
    </row>
    <row r="101" spans="1:6" x14ac:dyDescent="0.2">
      <c r="A101" s="2" t="s">
        <v>114</v>
      </c>
      <c r="B101" s="2" t="s">
        <v>4</v>
      </c>
      <c r="C101" s="2">
        <v>1</v>
      </c>
      <c r="D101" s="2">
        <v>0.4</v>
      </c>
      <c r="E101" s="2">
        <v>1</v>
      </c>
      <c r="F101" s="2" t="str">
        <f t="shared" si="3"/>
        <v>0th</v>
      </c>
    </row>
    <row r="102" spans="1:6" x14ac:dyDescent="0.2">
      <c r="A102" s="2" t="s">
        <v>114</v>
      </c>
      <c r="B102" s="2" t="s">
        <v>4</v>
      </c>
      <c r="C102" s="2">
        <v>2</v>
      </c>
      <c r="D102" s="2">
        <v>1.8</v>
      </c>
      <c r="E102" s="2">
        <v>2</v>
      </c>
      <c r="F102" s="2" t="str">
        <f t="shared" si="3"/>
        <v>2nd</v>
      </c>
    </row>
    <row r="103" spans="1:6" x14ac:dyDescent="0.2">
      <c r="A103" s="2" t="s">
        <v>114</v>
      </c>
      <c r="B103" s="2" t="s">
        <v>4</v>
      </c>
      <c r="C103" s="2">
        <v>3</v>
      </c>
      <c r="D103" s="2">
        <v>1.8</v>
      </c>
      <c r="E103" s="2">
        <v>2</v>
      </c>
      <c r="F103" s="2" t="str">
        <f t="shared" si="3"/>
        <v>2nd</v>
      </c>
    </row>
    <row r="104" spans="1:6" x14ac:dyDescent="0.2">
      <c r="A104" s="2" t="s">
        <v>114</v>
      </c>
      <c r="B104" s="2" t="s">
        <v>4</v>
      </c>
      <c r="C104" s="2">
        <v>4</v>
      </c>
      <c r="D104" s="2">
        <v>4.3</v>
      </c>
      <c r="E104" s="2">
        <v>3</v>
      </c>
      <c r="F104" s="2" t="str">
        <f t="shared" si="3"/>
        <v>4th</v>
      </c>
    </row>
    <row r="105" spans="1:6" x14ac:dyDescent="0.2">
      <c r="A105" s="2" t="s">
        <v>114</v>
      </c>
      <c r="B105" s="2" t="s">
        <v>4</v>
      </c>
      <c r="C105" s="2">
        <v>5</v>
      </c>
      <c r="D105" s="2">
        <v>4.3</v>
      </c>
      <c r="E105" s="2">
        <v>3</v>
      </c>
      <c r="F105" s="2" t="str">
        <f t="shared" si="3"/>
        <v>4th</v>
      </c>
    </row>
    <row r="106" spans="1:6" x14ac:dyDescent="0.2">
      <c r="A106" s="2" t="s">
        <v>114</v>
      </c>
      <c r="B106" s="2" t="s">
        <v>4</v>
      </c>
      <c r="C106" s="2">
        <v>6</v>
      </c>
      <c r="D106" s="2">
        <v>4.3</v>
      </c>
      <c r="E106" s="2">
        <v>3</v>
      </c>
      <c r="F106" s="2" t="str">
        <f t="shared" si="3"/>
        <v>4th</v>
      </c>
    </row>
    <row r="107" spans="1:6" x14ac:dyDescent="0.2">
      <c r="A107" s="2" t="s">
        <v>114</v>
      </c>
      <c r="B107" s="2" t="s">
        <v>4</v>
      </c>
      <c r="C107" s="2">
        <v>7</v>
      </c>
      <c r="D107" s="2">
        <v>8.3000000000000007</v>
      </c>
      <c r="E107" s="2">
        <v>4</v>
      </c>
      <c r="F107" s="2" t="str">
        <f t="shared" si="3"/>
        <v>8th</v>
      </c>
    </row>
    <row r="108" spans="1:6" x14ac:dyDescent="0.2">
      <c r="A108" s="2" t="s">
        <v>114</v>
      </c>
      <c r="B108" s="2" t="s">
        <v>4</v>
      </c>
      <c r="C108" s="2">
        <v>8</v>
      </c>
      <c r="D108" s="2">
        <v>8.3000000000000007</v>
      </c>
      <c r="E108" s="2">
        <v>4</v>
      </c>
      <c r="F108" s="2" t="str">
        <f t="shared" si="3"/>
        <v>8th</v>
      </c>
    </row>
    <row r="109" spans="1:6" x14ac:dyDescent="0.2">
      <c r="A109" s="2" t="s">
        <v>114</v>
      </c>
      <c r="B109" s="2" t="s">
        <v>4</v>
      </c>
      <c r="C109" s="2">
        <v>9</v>
      </c>
      <c r="D109" s="2">
        <v>8.3000000000000007</v>
      </c>
      <c r="E109" s="2">
        <v>4</v>
      </c>
      <c r="F109" s="2" t="str">
        <f t="shared" si="3"/>
        <v>8th</v>
      </c>
    </row>
    <row r="110" spans="1:6" x14ac:dyDescent="0.2">
      <c r="A110" s="2" t="s">
        <v>114</v>
      </c>
      <c r="B110" s="2" t="s">
        <v>4</v>
      </c>
      <c r="C110" s="2">
        <v>10</v>
      </c>
      <c r="D110" s="2">
        <v>13.7</v>
      </c>
      <c r="E110" s="2">
        <v>5</v>
      </c>
      <c r="F110" s="2" t="str">
        <f t="shared" si="3"/>
        <v>14th</v>
      </c>
    </row>
    <row r="111" spans="1:6" x14ac:dyDescent="0.2">
      <c r="A111" s="2" t="s">
        <v>114</v>
      </c>
      <c r="B111" s="2" t="s">
        <v>4</v>
      </c>
      <c r="C111" s="2">
        <v>11</v>
      </c>
      <c r="D111" s="2">
        <v>13.7</v>
      </c>
      <c r="E111" s="2">
        <v>5</v>
      </c>
      <c r="F111" s="2" t="str">
        <f t="shared" si="3"/>
        <v>14th</v>
      </c>
    </row>
    <row r="112" spans="1:6" x14ac:dyDescent="0.2">
      <c r="A112" s="2" t="s">
        <v>114</v>
      </c>
      <c r="B112" s="2" t="s">
        <v>4</v>
      </c>
      <c r="C112" s="2">
        <v>12</v>
      </c>
      <c r="D112" s="2">
        <v>13.7</v>
      </c>
      <c r="E112" s="2">
        <v>5</v>
      </c>
      <c r="F112" s="2" t="str">
        <f t="shared" si="3"/>
        <v>14th</v>
      </c>
    </row>
    <row r="113" spans="1:6" x14ac:dyDescent="0.2">
      <c r="A113" s="2" t="s">
        <v>114</v>
      </c>
      <c r="B113" s="2" t="s">
        <v>4</v>
      </c>
      <c r="C113" s="2">
        <v>13</v>
      </c>
      <c r="D113" s="2">
        <v>22.6</v>
      </c>
      <c r="E113" s="2">
        <v>6</v>
      </c>
      <c r="F113" s="2" t="str">
        <f t="shared" si="3"/>
        <v>23rd</v>
      </c>
    </row>
    <row r="114" spans="1:6" x14ac:dyDescent="0.2">
      <c r="A114" s="2" t="s">
        <v>114</v>
      </c>
      <c r="B114" s="2" t="s">
        <v>4</v>
      </c>
      <c r="C114" s="2">
        <v>14</v>
      </c>
      <c r="D114" s="2">
        <v>22.6</v>
      </c>
      <c r="E114" s="2">
        <v>6</v>
      </c>
      <c r="F114" s="2" t="str">
        <f t="shared" si="3"/>
        <v>23rd</v>
      </c>
    </row>
    <row r="115" spans="1:6" x14ac:dyDescent="0.2">
      <c r="A115" s="2" t="s">
        <v>114</v>
      </c>
      <c r="B115" s="2" t="s">
        <v>4</v>
      </c>
      <c r="C115" s="2">
        <v>15</v>
      </c>
      <c r="D115" s="2">
        <v>22.6</v>
      </c>
      <c r="E115" s="2">
        <v>6</v>
      </c>
      <c r="F115" s="2" t="str">
        <f t="shared" ref="F115:F178" si="4">IF(RIGHT(ROUND(D115,0),2)="13",ROUND(D115,0)&amp;"th",IF(RIGHT(ROUND(D115,0),2)="12",ROUND(D115,0)&amp;"th",IF(RIGHT(ROUND(D115,0),2)="11",ROUND(D115,0)&amp;"th",IF(RIGHT(ROUND(D115,0),1)="1",ROUND(D115,0)&amp;"st",IF(RIGHT(ROUND(D115,0),1)="2",ROUND(D115,0)&amp;"nd",IF(RIGHT(ROUND(D115,0),1)="3",ROUND(D115,0)&amp;"rd",ROUND(D115,0)&amp;"th"))))))</f>
        <v>23rd</v>
      </c>
    </row>
    <row r="116" spans="1:6" x14ac:dyDescent="0.2">
      <c r="A116" s="2" t="s">
        <v>114</v>
      </c>
      <c r="B116" s="2" t="s">
        <v>4</v>
      </c>
      <c r="C116" s="2">
        <v>16</v>
      </c>
      <c r="D116" s="2">
        <v>34</v>
      </c>
      <c r="E116" s="2">
        <v>7</v>
      </c>
      <c r="F116" s="2" t="str">
        <f t="shared" si="4"/>
        <v>34th</v>
      </c>
    </row>
    <row r="117" spans="1:6" x14ac:dyDescent="0.2">
      <c r="A117" s="2" t="s">
        <v>114</v>
      </c>
      <c r="B117" s="2" t="s">
        <v>4</v>
      </c>
      <c r="C117" s="2">
        <v>17</v>
      </c>
      <c r="D117" s="2">
        <v>34</v>
      </c>
      <c r="E117" s="2">
        <v>7</v>
      </c>
      <c r="F117" s="2" t="str">
        <f t="shared" si="4"/>
        <v>34th</v>
      </c>
    </row>
    <row r="118" spans="1:6" x14ac:dyDescent="0.2">
      <c r="A118" s="2" t="s">
        <v>114</v>
      </c>
      <c r="B118" s="2" t="s">
        <v>4</v>
      </c>
      <c r="C118" s="2">
        <v>18</v>
      </c>
      <c r="D118" s="2">
        <v>34</v>
      </c>
      <c r="E118" s="2">
        <v>7</v>
      </c>
      <c r="F118" s="2" t="str">
        <f t="shared" si="4"/>
        <v>34th</v>
      </c>
    </row>
    <row r="119" spans="1:6" x14ac:dyDescent="0.2">
      <c r="A119" s="2" t="s">
        <v>114</v>
      </c>
      <c r="B119" s="2" t="s">
        <v>4</v>
      </c>
      <c r="C119" s="2">
        <v>19</v>
      </c>
      <c r="D119" s="2">
        <v>45.4</v>
      </c>
      <c r="E119" s="2">
        <v>8</v>
      </c>
      <c r="F119" s="2" t="str">
        <f t="shared" si="4"/>
        <v>45th</v>
      </c>
    </row>
    <row r="120" spans="1:6" x14ac:dyDescent="0.2">
      <c r="A120" s="2" t="s">
        <v>114</v>
      </c>
      <c r="B120" s="2" t="s">
        <v>4</v>
      </c>
      <c r="C120" s="2">
        <v>20</v>
      </c>
      <c r="D120" s="2">
        <v>45.4</v>
      </c>
      <c r="E120" s="2">
        <v>8</v>
      </c>
      <c r="F120" s="2" t="str">
        <f t="shared" si="4"/>
        <v>45th</v>
      </c>
    </row>
    <row r="121" spans="1:6" x14ac:dyDescent="0.2">
      <c r="A121" s="2" t="s">
        <v>114</v>
      </c>
      <c r="B121" s="2" t="s">
        <v>4</v>
      </c>
      <c r="C121" s="2">
        <v>21</v>
      </c>
      <c r="D121" s="2">
        <v>45.4</v>
      </c>
      <c r="E121" s="2">
        <v>8</v>
      </c>
      <c r="F121" s="2" t="str">
        <f t="shared" si="4"/>
        <v>45th</v>
      </c>
    </row>
    <row r="122" spans="1:6" x14ac:dyDescent="0.2">
      <c r="A122" s="2" t="s">
        <v>114</v>
      </c>
      <c r="B122" s="2" t="s">
        <v>4</v>
      </c>
      <c r="C122" s="2">
        <v>22</v>
      </c>
      <c r="D122" s="2">
        <v>60.8</v>
      </c>
      <c r="E122" s="2">
        <v>9</v>
      </c>
      <c r="F122" s="2" t="str">
        <f t="shared" si="4"/>
        <v>61st</v>
      </c>
    </row>
    <row r="123" spans="1:6" x14ac:dyDescent="0.2">
      <c r="A123" s="2" t="s">
        <v>114</v>
      </c>
      <c r="B123" s="2" t="s">
        <v>4</v>
      </c>
      <c r="C123" s="2">
        <v>23</v>
      </c>
      <c r="D123" s="2">
        <v>60.8</v>
      </c>
      <c r="E123" s="2">
        <v>9</v>
      </c>
      <c r="F123" s="2" t="str">
        <f t="shared" si="4"/>
        <v>61st</v>
      </c>
    </row>
    <row r="124" spans="1:6" x14ac:dyDescent="0.2">
      <c r="A124" s="2" t="s">
        <v>114</v>
      </c>
      <c r="B124" s="2" t="s">
        <v>4</v>
      </c>
      <c r="C124" s="2">
        <v>24</v>
      </c>
      <c r="D124" s="2">
        <v>60.8</v>
      </c>
      <c r="E124" s="2">
        <v>9</v>
      </c>
      <c r="F124" s="2" t="str">
        <f t="shared" si="4"/>
        <v>61st</v>
      </c>
    </row>
    <row r="125" spans="1:6" x14ac:dyDescent="0.2">
      <c r="A125" s="2" t="s">
        <v>114</v>
      </c>
      <c r="B125" s="2" t="s">
        <v>4</v>
      </c>
      <c r="C125" s="2">
        <v>25</v>
      </c>
      <c r="D125" s="2">
        <v>76.8</v>
      </c>
      <c r="E125" s="2">
        <v>10</v>
      </c>
      <c r="F125" s="2" t="str">
        <f t="shared" si="4"/>
        <v>77th</v>
      </c>
    </row>
    <row r="126" spans="1:6" x14ac:dyDescent="0.2">
      <c r="A126" s="2" t="s">
        <v>114</v>
      </c>
      <c r="B126" s="2" t="s">
        <v>4</v>
      </c>
      <c r="C126" s="2">
        <v>26</v>
      </c>
      <c r="D126" s="2">
        <v>76.8</v>
      </c>
      <c r="E126" s="2">
        <v>10</v>
      </c>
      <c r="F126" s="2" t="str">
        <f t="shared" si="4"/>
        <v>77th</v>
      </c>
    </row>
    <row r="127" spans="1:6" x14ac:dyDescent="0.2">
      <c r="A127" s="2" t="s">
        <v>114</v>
      </c>
      <c r="B127" s="2" t="s">
        <v>4</v>
      </c>
      <c r="C127" s="2">
        <v>27</v>
      </c>
      <c r="D127" s="2">
        <v>90.3</v>
      </c>
      <c r="E127" s="2">
        <v>11</v>
      </c>
      <c r="F127" s="2" t="str">
        <f t="shared" si="4"/>
        <v>90th</v>
      </c>
    </row>
    <row r="128" spans="1:6" x14ac:dyDescent="0.2">
      <c r="A128" s="2" t="s">
        <v>114</v>
      </c>
      <c r="B128" s="2" t="s">
        <v>4</v>
      </c>
      <c r="C128" s="2">
        <v>28</v>
      </c>
      <c r="D128" s="2">
        <v>90.3</v>
      </c>
      <c r="E128" s="2">
        <v>11</v>
      </c>
      <c r="F128" s="2" t="str">
        <f t="shared" si="4"/>
        <v>90th</v>
      </c>
    </row>
    <row r="129" spans="1:6" x14ac:dyDescent="0.2">
      <c r="A129" s="2" t="s">
        <v>114</v>
      </c>
      <c r="B129" s="2" t="s">
        <v>4</v>
      </c>
      <c r="C129" s="2">
        <v>29</v>
      </c>
      <c r="D129" s="2">
        <v>96.7</v>
      </c>
      <c r="E129" s="2">
        <v>12</v>
      </c>
      <c r="F129" s="2" t="str">
        <f t="shared" si="4"/>
        <v>97th</v>
      </c>
    </row>
    <row r="130" spans="1:6" x14ac:dyDescent="0.2">
      <c r="A130" s="2" t="s">
        <v>114</v>
      </c>
      <c r="B130" s="2" t="s">
        <v>4</v>
      </c>
      <c r="C130" s="2">
        <v>30</v>
      </c>
      <c r="D130" s="2">
        <v>96.7</v>
      </c>
      <c r="E130" s="2">
        <v>12</v>
      </c>
      <c r="F130" s="2" t="str">
        <f t="shared" si="4"/>
        <v>97th</v>
      </c>
    </row>
    <row r="131" spans="1:6" x14ac:dyDescent="0.2">
      <c r="A131" s="2" t="s">
        <v>114</v>
      </c>
      <c r="B131" s="2" t="s">
        <v>4</v>
      </c>
      <c r="C131" s="2">
        <v>31</v>
      </c>
      <c r="D131" s="2">
        <v>98.9</v>
      </c>
      <c r="E131" s="2">
        <v>13</v>
      </c>
      <c r="F131" s="2" t="str">
        <f t="shared" si="4"/>
        <v>99th</v>
      </c>
    </row>
    <row r="132" spans="1:6" x14ac:dyDescent="0.2">
      <c r="A132" s="2" t="s">
        <v>114</v>
      </c>
      <c r="B132" s="2" t="s">
        <v>4</v>
      </c>
      <c r="C132" s="2">
        <v>32</v>
      </c>
      <c r="D132" s="2">
        <v>98.9</v>
      </c>
      <c r="E132" s="2">
        <v>13</v>
      </c>
      <c r="F132" s="2" t="str">
        <f t="shared" si="4"/>
        <v>99th</v>
      </c>
    </row>
    <row r="133" spans="1:6" x14ac:dyDescent="0.2">
      <c r="A133" s="2" t="s">
        <v>114</v>
      </c>
      <c r="B133" s="2" t="s">
        <v>4</v>
      </c>
      <c r="C133" s="2">
        <v>33</v>
      </c>
      <c r="D133" s="2">
        <v>99.8</v>
      </c>
      <c r="E133" s="2">
        <v>14</v>
      </c>
      <c r="F133" s="2" t="str">
        <f t="shared" si="4"/>
        <v>100th</v>
      </c>
    </row>
    <row r="134" spans="1:6" x14ac:dyDescent="0.2">
      <c r="A134" s="2" t="s">
        <v>114</v>
      </c>
      <c r="B134" s="2" t="s">
        <v>4</v>
      </c>
      <c r="C134" s="2">
        <v>34</v>
      </c>
      <c r="D134" s="2">
        <v>99.9</v>
      </c>
      <c r="E134" s="2">
        <v>15</v>
      </c>
      <c r="F134" s="2" t="str">
        <f t="shared" si="4"/>
        <v>100th</v>
      </c>
    </row>
    <row r="135" spans="1:6" x14ac:dyDescent="0.2">
      <c r="A135" s="2" t="s">
        <v>114</v>
      </c>
      <c r="B135" s="2" t="s">
        <v>4</v>
      </c>
      <c r="C135" s="2">
        <v>35</v>
      </c>
      <c r="D135" s="2">
        <v>99.9</v>
      </c>
      <c r="E135" s="2">
        <v>15</v>
      </c>
      <c r="F135" s="2" t="str">
        <f t="shared" si="4"/>
        <v>100th</v>
      </c>
    </row>
    <row r="136" spans="1:6" x14ac:dyDescent="0.2">
      <c r="A136" s="2" t="s">
        <v>114</v>
      </c>
      <c r="B136" s="2" t="s">
        <v>4</v>
      </c>
      <c r="C136" s="2">
        <v>36</v>
      </c>
      <c r="D136" s="2">
        <v>99.9</v>
      </c>
      <c r="E136" s="2">
        <v>15</v>
      </c>
      <c r="F136" s="2" t="str">
        <f t="shared" si="4"/>
        <v>100th</v>
      </c>
    </row>
    <row r="137" spans="1:6" x14ac:dyDescent="0.2">
      <c r="A137" s="2" t="s">
        <v>114</v>
      </c>
      <c r="B137" s="2" t="s">
        <v>4</v>
      </c>
      <c r="C137" s="2">
        <v>37</v>
      </c>
      <c r="D137" s="2">
        <v>99.9</v>
      </c>
      <c r="E137" s="2">
        <v>15</v>
      </c>
      <c r="F137" s="2" t="str">
        <f t="shared" si="4"/>
        <v>100th</v>
      </c>
    </row>
    <row r="138" spans="1:6" x14ac:dyDescent="0.2">
      <c r="A138" s="2" t="s">
        <v>114</v>
      </c>
      <c r="B138" s="2" t="s">
        <v>4</v>
      </c>
      <c r="C138" s="2">
        <v>38</v>
      </c>
      <c r="D138" s="2">
        <v>99.9</v>
      </c>
      <c r="E138" s="2">
        <v>15</v>
      </c>
      <c r="F138" s="2" t="str">
        <f t="shared" si="4"/>
        <v>100th</v>
      </c>
    </row>
    <row r="139" spans="1:6" x14ac:dyDescent="0.2">
      <c r="A139" s="2" t="s">
        <v>114</v>
      </c>
      <c r="B139" s="2" t="s">
        <v>4</v>
      </c>
      <c r="C139" s="2">
        <v>39</v>
      </c>
      <c r="D139" s="2">
        <v>99.9</v>
      </c>
      <c r="E139" s="2">
        <v>15</v>
      </c>
      <c r="F139" s="2" t="str">
        <f t="shared" si="4"/>
        <v>100th</v>
      </c>
    </row>
    <row r="140" spans="1:6" x14ac:dyDescent="0.2">
      <c r="A140" s="2" t="s">
        <v>114</v>
      </c>
      <c r="B140" s="2" t="s">
        <v>4</v>
      </c>
      <c r="C140" s="2">
        <v>40</v>
      </c>
      <c r="D140" s="2">
        <v>99.9</v>
      </c>
      <c r="E140" s="2">
        <v>15</v>
      </c>
      <c r="F140" s="2" t="str">
        <f t="shared" si="4"/>
        <v>100th</v>
      </c>
    </row>
    <row r="141" spans="1:6" x14ac:dyDescent="0.2">
      <c r="A141" s="2" t="s">
        <v>114</v>
      </c>
      <c r="B141" s="2" t="s">
        <v>5</v>
      </c>
      <c r="C141" s="2">
        <v>0</v>
      </c>
      <c r="D141" s="2">
        <v>0.3</v>
      </c>
      <c r="E141" s="2">
        <v>1</v>
      </c>
      <c r="F141" s="2" t="str">
        <f t="shared" si="4"/>
        <v>0th</v>
      </c>
    </row>
    <row r="142" spans="1:6" x14ac:dyDescent="0.2">
      <c r="A142" s="2" t="s">
        <v>114</v>
      </c>
      <c r="B142" s="2" t="s">
        <v>5</v>
      </c>
      <c r="C142" s="2">
        <v>1</v>
      </c>
      <c r="D142" s="2">
        <v>0.3</v>
      </c>
      <c r="E142" s="2">
        <v>1</v>
      </c>
      <c r="F142" s="2" t="str">
        <f t="shared" si="4"/>
        <v>0th</v>
      </c>
    </row>
    <row r="143" spans="1:6" x14ac:dyDescent="0.2">
      <c r="A143" s="2" t="s">
        <v>114</v>
      </c>
      <c r="B143" s="2" t="s">
        <v>5</v>
      </c>
      <c r="C143" s="2">
        <v>2</v>
      </c>
      <c r="D143" s="2">
        <v>0.3</v>
      </c>
      <c r="E143" s="2">
        <v>1</v>
      </c>
      <c r="F143" s="2" t="str">
        <f t="shared" si="4"/>
        <v>0th</v>
      </c>
    </row>
    <row r="144" spans="1:6" x14ac:dyDescent="0.2">
      <c r="A144" s="2" t="s">
        <v>114</v>
      </c>
      <c r="B144" s="2" t="s">
        <v>5</v>
      </c>
      <c r="C144" s="2">
        <v>3</v>
      </c>
      <c r="D144" s="2">
        <v>0.3</v>
      </c>
      <c r="E144" s="2">
        <v>1</v>
      </c>
      <c r="F144" s="2" t="str">
        <f t="shared" si="4"/>
        <v>0th</v>
      </c>
    </row>
    <row r="145" spans="1:6" x14ac:dyDescent="0.2">
      <c r="A145" s="2" t="s">
        <v>114</v>
      </c>
      <c r="B145" s="2" t="s">
        <v>5</v>
      </c>
      <c r="C145" s="2">
        <v>4</v>
      </c>
      <c r="D145" s="2">
        <v>0.3</v>
      </c>
      <c r="E145" s="2">
        <v>1</v>
      </c>
      <c r="F145" s="2" t="str">
        <f t="shared" si="4"/>
        <v>0th</v>
      </c>
    </row>
    <row r="146" spans="1:6" x14ac:dyDescent="0.2">
      <c r="A146" s="2" t="s">
        <v>114</v>
      </c>
      <c r="B146" s="2" t="s">
        <v>5</v>
      </c>
      <c r="C146" s="2">
        <v>5</v>
      </c>
      <c r="D146" s="2">
        <v>0.3</v>
      </c>
      <c r="E146" s="2">
        <v>1</v>
      </c>
      <c r="F146" s="2" t="str">
        <f t="shared" si="4"/>
        <v>0th</v>
      </c>
    </row>
    <row r="147" spans="1:6" x14ac:dyDescent="0.2">
      <c r="A147" s="2" t="s">
        <v>114</v>
      </c>
      <c r="B147" s="2" t="s">
        <v>5</v>
      </c>
      <c r="C147" s="2">
        <v>6</v>
      </c>
      <c r="D147" s="2">
        <v>1.1000000000000001</v>
      </c>
      <c r="E147" s="2">
        <v>2</v>
      </c>
      <c r="F147" s="2" t="str">
        <f t="shared" si="4"/>
        <v>1st</v>
      </c>
    </row>
    <row r="148" spans="1:6" x14ac:dyDescent="0.2">
      <c r="A148" s="2" t="s">
        <v>114</v>
      </c>
      <c r="B148" s="2" t="s">
        <v>5</v>
      </c>
      <c r="C148" s="2">
        <v>7</v>
      </c>
      <c r="D148" s="2">
        <v>1.1000000000000001</v>
      </c>
      <c r="E148" s="2">
        <v>2</v>
      </c>
      <c r="F148" s="2" t="str">
        <f t="shared" si="4"/>
        <v>1st</v>
      </c>
    </row>
    <row r="149" spans="1:6" x14ac:dyDescent="0.2">
      <c r="A149" s="2" t="s">
        <v>114</v>
      </c>
      <c r="B149" s="2" t="s">
        <v>5</v>
      </c>
      <c r="C149" s="2">
        <v>8</v>
      </c>
      <c r="D149" s="2">
        <v>1.1000000000000001</v>
      </c>
      <c r="E149" s="2">
        <v>2</v>
      </c>
      <c r="F149" s="2" t="str">
        <f t="shared" si="4"/>
        <v>1st</v>
      </c>
    </row>
    <row r="150" spans="1:6" x14ac:dyDescent="0.2">
      <c r="A150" s="2" t="s">
        <v>114</v>
      </c>
      <c r="B150" s="2" t="s">
        <v>5</v>
      </c>
      <c r="C150" s="2">
        <v>9</v>
      </c>
      <c r="D150" s="2">
        <v>1.1000000000000001</v>
      </c>
      <c r="E150" s="2">
        <v>2</v>
      </c>
      <c r="F150" s="2" t="str">
        <f t="shared" si="4"/>
        <v>1st</v>
      </c>
    </row>
    <row r="151" spans="1:6" x14ac:dyDescent="0.2">
      <c r="A151" s="2" t="s">
        <v>114</v>
      </c>
      <c r="B151" s="2" t="s">
        <v>5</v>
      </c>
      <c r="C151" s="2">
        <v>10</v>
      </c>
      <c r="D151" s="2">
        <v>1.1000000000000001</v>
      </c>
      <c r="E151" s="2">
        <v>2</v>
      </c>
      <c r="F151" s="2" t="str">
        <f t="shared" si="4"/>
        <v>1st</v>
      </c>
    </row>
    <row r="152" spans="1:6" x14ac:dyDescent="0.2">
      <c r="A152" s="2" t="s">
        <v>114</v>
      </c>
      <c r="B152" s="2" t="s">
        <v>5</v>
      </c>
      <c r="C152" s="2">
        <v>11</v>
      </c>
      <c r="D152" s="2">
        <v>2.4</v>
      </c>
      <c r="E152" s="2">
        <v>3</v>
      </c>
      <c r="F152" s="2" t="str">
        <f t="shared" si="4"/>
        <v>2nd</v>
      </c>
    </row>
    <row r="153" spans="1:6" x14ac:dyDescent="0.2">
      <c r="A153" s="2" t="s">
        <v>114</v>
      </c>
      <c r="B153" s="2" t="s">
        <v>5</v>
      </c>
      <c r="C153" s="2">
        <v>12</v>
      </c>
      <c r="D153" s="2">
        <v>2.4</v>
      </c>
      <c r="E153" s="2">
        <v>3</v>
      </c>
      <c r="F153" s="2" t="str">
        <f t="shared" si="4"/>
        <v>2nd</v>
      </c>
    </row>
    <row r="154" spans="1:6" x14ac:dyDescent="0.2">
      <c r="A154" s="2" t="s">
        <v>114</v>
      </c>
      <c r="B154" s="2" t="s">
        <v>5</v>
      </c>
      <c r="C154" s="2">
        <v>13</v>
      </c>
      <c r="D154" s="2">
        <v>2.4</v>
      </c>
      <c r="E154" s="2">
        <v>3</v>
      </c>
      <c r="F154" s="2" t="str">
        <f t="shared" si="4"/>
        <v>2nd</v>
      </c>
    </row>
    <row r="155" spans="1:6" x14ac:dyDescent="0.2">
      <c r="A155" s="2" t="s">
        <v>114</v>
      </c>
      <c r="B155" s="2" t="s">
        <v>5</v>
      </c>
      <c r="C155" s="2">
        <v>14</v>
      </c>
      <c r="D155" s="2">
        <v>4.9000000000000004</v>
      </c>
      <c r="E155" s="2">
        <v>4</v>
      </c>
      <c r="F155" s="2" t="str">
        <f t="shared" si="4"/>
        <v>5th</v>
      </c>
    </row>
    <row r="156" spans="1:6" x14ac:dyDescent="0.2">
      <c r="A156" s="2" t="s">
        <v>114</v>
      </c>
      <c r="B156" s="2" t="s">
        <v>5</v>
      </c>
      <c r="C156" s="2">
        <v>15</v>
      </c>
      <c r="D156" s="2">
        <v>4.9000000000000004</v>
      </c>
      <c r="E156" s="2">
        <v>4</v>
      </c>
      <c r="F156" s="2" t="str">
        <f t="shared" si="4"/>
        <v>5th</v>
      </c>
    </row>
    <row r="157" spans="1:6" x14ac:dyDescent="0.2">
      <c r="A157" s="2" t="s">
        <v>114</v>
      </c>
      <c r="B157" s="2" t="s">
        <v>5</v>
      </c>
      <c r="C157" s="2">
        <v>16</v>
      </c>
      <c r="D157" s="2">
        <v>4.9000000000000004</v>
      </c>
      <c r="E157" s="2">
        <v>4</v>
      </c>
      <c r="F157" s="2" t="str">
        <f t="shared" si="4"/>
        <v>5th</v>
      </c>
    </row>
    <row r="158" spans="1:6" x14ac:dyDescent="0.2">
      <c r="A158" s="2" t="s">
        <v>114</v>
      </c>
      <c r="B158" s="2" t="s">
        <v>5</v>
      </c>
      <c r="C158" s="2">
        <v>17</v>
      </c>
      <c r="D158" s="2">
        <v>8.5</v>
      </c>
      <c r="E158" s="2">
        <v>5</v>
      </c>
      <c r="F158" s="2" t="str">
        <f t="shared" si="4"/>
        <v>9th</v>
      </c>
    </row>
    <row r="159" spans="1:6" x14ac:dyDescent="0.2">
      <c r="A159" s="2" t="s">
        <v>114</v>
      </c>
      <c r="B159" s="2" t="s">
        <v>5</v>
      </c>
      <c r="C159" s="2">
        <v>18</v>
      </c>
      <c r="D159" s="2">
        <v>8.5</v>
      </c>
      <c r="E159" s="2">
        <v>5</v>
      </c>
      <c r="F159" s="2" t="str">
        <f t="shared" si="4"/>
        <v>9th</v>
      </c>
    </row>
    <row r="160" spans="1:6" x14ac:dyDescent="0.2">
      <c r="A160" s="2" t="s">
        <v>114</v>
      </c>
      <c r="B160" s="2" t="s">
        <v>5</v>
      </c>
      <c r="C160" s="2">
        <v>19</v>
      </c>
      <c r="D160" s="2">
        <v>8.5</v>
      </c>
      <c r="E160" s="2">
        <v>5</v>
      </c>
      <c r="F160" s="2" t="str">
        <f t="shared" si="4"/>
        <v>9th</v>
      </c>
    </row>
    <row r="161" spans="1:6" x14ac:dyDescent="0.2">
      <c r="A161" s="2" t="s">
        <v>114</v>
      </c>
      <c r="B161" s="2" t="s">
        <v>5</v>
      </c>
      <c r="C161" s="2">
        <v>20</v>
      </c>
      <c r="D161" s="2">
        <v>14.1</v>
      </c>
      <c r="E161" s="2">
        <v>6</v>
      </c>
      <c r="F161" s="2" t="str">
        <f t="shared" si="4"/>
        <v>14th</v>
      </c>
    </row>
    <row r="162" spans="1:6" x14ac:dyDescent="0.2">
      <c r="A162" s="2" t="s">
        <v>114</v>
      </c>
      <c r="B162" s="2" t="s">
        <v>5</v>
      </c>
      <c r="C162" s="2">
        <v>21</v>
      </c>
      <c r="D162" s="2">
        <v>14.1</v>
      </c>
      <c r="E162" s="2">
        <v>6</v>
      </c>
      <c r="F162" s="2" t="str">
        <f t="shared" si="4"/>
        <v>14th</v>
      </c>
    </row>
    <row r="163" spans="1:6" x14ac:dyDescent="0.2">
      <c r="A163" s="2" t="s">
        <v>114</v>
      </c>
      <c r="B163" s="2" t="s">
        <v>5</v>
      </c>
      <c r="C163" s="2">
        <v>22</v>
      </c>
      <c r="D163" s="2">
        <v>14.1</v>
      </c>
      <c r="E163" s="2">
        <v>6</v>
      </c>
      <c r="F163" s="2" t="str">
        <f t="shared" si="4"/>
        <v>14th</v>
      </c>
    </row>
    <row r="164" spans="1:6" x14ac:dyDescent="0.2">
      <c r="A164" s="2" t="s">
        <v>114</v>
      </c>
      <c r="B164" s="2" t="s">
        <v>5</v>
      </c>
      <c r="C164" s="2">
        <v>23</v>
      </c>
      <c r="D164" s="2">
        <v>21.6</v>
      </c>
      <c r="E164" s="2">
        <v>7</v>
      </c>
      <c r="F164" s="2" t="str">
        <f t="shared" si="4"/>
        <v>22nd</v>
      </c>
    </row>
    <row r="165" spans="1:6" x14ac:dyDescent="0.2">
      <c r="A165" s="2" t="s">
        <v>114</v>
      </c>
      <c r="B165" s="2" t="s">
        <v>5</v>
      </c>
      <c r="C165" s="2">
        <v>24</v>
      </c>
      <c r="D165" s="2">
        <v>21.6</v>
      </c>
      <c r="E165" s="2">
        <v>7</v>
      </c>
      <c r="F165" s="2" t="str">
        <f t="shared" si="4"/>
        <v>22nd</v>
      </c>
    </row>
    <row r="166" spans="1:6" x14ac:dyDescent="0.2">
      <c r="A166" s="2" t="s">
        <v>114</v>
      </c>
      <c r="B166" s="2" t="s">
        <v>5</v>
      </c>
      <c r="C166" s="2">
        <v>25</v>
      </c>
      <c r="D166" s="2">
        <v>21.6</v>
      </c>
      <c r="E166" s="2">
        <v>7</v>
      </c>
      <c r="F166" s="2" t="str">
        <f t="shared" si="4"/>
        <v>22nd</v>
      </c>
    </row>
    <row r="167" spans="1:6" x14ac:dyDescent="0.2">
      <c r="A167" s="2" t="s">
        <v>114</v>
      </c>
      <c r="B167" s="2" t="s">
        <v>5</v>
      </c>
      <c r="C167" s="2">
        <v>26</v>
      </c>
      <c r="D167" s="2">
        <v>33.200000000000003</v>
      </c>
      <c r="E167" s="2">
        <v>8</v>
      </c>
      <c r="F167" s="2" t="str">
        <f t="shared" si="4"/>
        <v>33rd</v>
      </c>
    </row>
    <row r="168" spans="1:6" x14ac:dyDescent="0.2">
      <c r="A168" s="2" t="s">
        <v>114</v>
      </c>
      <c r="B168" s="2" t="s">
        <v>5</v>
      </c>
      <c r="C168" s="2">
        <v>27</v>
      </c>
      <c r="D168" s="2">
        <v>33.200000000000003</v>
      </c>
      <c r="E168" s="2">
        <v>8</v>
      </c>
      <c r="F168" s="2" t="str">
        <f t="shared" si="4"/>
        <v>33rd</v>
      </c>
    </row>
    <row r="169" spans="1:6" x14ac:dyDescent="0.2">
      <c r="A169" s="2" t="s">
        <v>114</v>
      </c>
      <c r="B169" s="2" t="s">
        <v>5</v>
      </c>
      <c r="C169" s="2">
        <v>28</v>
      </c>
      <c r="D169" s="2">
        <v>33.200000000000003</v>
      </c>
      <c r="E169" s="2">
        <v>8</v>
      </c>
      <c r="F169" s="2" t="str">
        <f t="shared" si="4"/>
        <v>33rd</v>
      </c>
    </row>
    <row r="170" spans="1:6" x14ac:dyDescent="0.2">
      <c r="A170" s="2" t="s">
        <v>114</v>
      </c>
      <c r="B170" s="2" t="s">
        <v>5</v>
      </c>
      <c r="C170" s="2">
        <v>29</v>
      </c>
      <c r="D170" s="2">
        <v>49.3</v>
      </c>
      <c r="E170" s="2">
        <v>9</v>
      </c>
      <c r="F170" s="2" t="str">
        <f t="shared" si="4"/>
        <v>49th</v>
      </c>
    </row>
    <row r="171" spans="1:6" x14ac:dyDescent="0.2">
      <c r="A171" s="2" t="s">
        <v>114</v>
      </c>
      <c r="B171" s="2" t="s">
        <v>5</v>
      </c>
      <c r="C171" s="2">
        <v>30</v>
      </c>
      <c r="D171" s="2">
        <v>49.3</v>
      </c>
      <c r="E171" s="2">
        <v>9</v>
      </c>
      <c r="F171" s="2" t="str">
        <f t="shared" si="4"/>
        <v>49th</v>
      </c>
    </row>
    <row r="172" spans="1:6" x14ac:dyDescent="0.2">
      <c r="A172" s="2" t="s">
        <v>114</v>
      </c>
      <c r="B172" s="2" t="s">
        <v>5</v>
      </c>
      <c r="C172" s="2">
        <v>31</v>
      </c>
      <c r="D172" s="2">
        <v>49.3</v>
      </c>
      <c r="E172" s="2">
        <v>9</v>
      </c>
      <c r="F172" s="2" t="str">
        <f t="shared" si="4"/>
        <v>49th</v>
      </c>
    </row>
    <row r="173" spans="1:6" x14ac:dyDescent="0.2">
      <c r="A173" s="2" t="s">
        <v>114</v>
      </c>
      <c r="B173" s="2" t="s">
        <v>5</v>
      </c>
      <c r="C173" s="2">
        <v>32</v>
      </c>
      <c r="D173" s="2">
        <v>66.8</v>
      </c>
      <c r="E173" s="2">
        <v>10</v>
      </c>
      <c r="F173" s="2" t="str">
        <f t="shared" si="4"/>
        <v>67th</v>
      </c>
    </row>
    <row r="174" spans="1:6" x14ac:dyDescent="0.2">
      <c r="A174" s="2" t="s">
        <v>114</v>
      </c>
      <c r="B174" s="2" t="s">
        <v>5</v>
      </c>
      <c r="C174" s="2">
        <v>33</v>
      </c>
      <c r="D174" s="2">
        <v>66.8</v>
      </c>
      <c r="E174" s="2">
        <v>10</v>
      </c>
      <c r="F174" s="2" t="str">
        <f t="shared" si="4"/>
        <v>67th</v>
      </c>
    </row>
    <row r="175" spans="1:6" x14ac:dyDescent="0.2">
      <c r="A175" s="2" t="s">
        <v>114</v>
      </c>
      <c r="B175" s="2" t="s">
        <v>5</v>
      </c>
      <c r="C175" s="2">
        <v>34</v>
      </c>
      <c r="D175" s="2">
        <v>81.900000000000006</v>
      </c>
      <c r="E175" s="2">
        <v>11</v>
      </c>
      <c r="F175" s="2" t="str">
        <f t="shared" si="4"/>
        <v>82nd</v>
      </c>
    </row>
    <row r="176" spans="1:6" x14ac:dyDescent="0.2">
      <c r="A176" s="2" t="s">
        <v>114</v>
      </c>
      <c r="B176" s="2" t="s">
        <v>5</v>
      </c>
      <c r="C176" s="2">
        <v>35</v>
      </c>
      <c r="D176" s="2">
        <v>81.900000000000006</v>
      </c>
      <c r="E176" s="2">
        <v>11</v>
      </c>
      <c r="F176" s="2" t="str">
        <f t="shared" si="4"/>
        <v>82nd</v>
      </c>
    </row>
    <row r="177" spans="1:6" x14ac:dyDescent="0.2">
      <c r="A177" s="2" t="s">
        <v>114</v>
      </c>
      <c r="B177" s="2" t="s">
        <v>5</v>
      </c>
      <c r="C177" s="2">
        <v>36</v>
      </c>
      <c r="D177" s="2">
        <v>91.4</v>
      </c>
      <c r="E177" s="2">
        <v>12</v>
      </c>
      <c r="F177" s="2" t="str">
        <f t="shared" si="4"/>
        <v>91st</v>
      </c>
    </row>
    <row r="178" spans="1:6" x14ac:dyDescent="0.2">
      <c r="A178" s="2" t="s">
        <v>114</v>
      </c>
      <c r="B178" s="2" t="s">
        <v>5</v>
      </c>
      <c r="C178" s="2">
        <v>37</v>
      </c>
      <c r="D178" s="2">
        <v>91.4</v>
      </c>
      <c r="E178" s="2">
        <v>12</v>
      </c>
      <c r="F178" s="2" t="str">
        <f t="shared" si="4"/>
        <v>91st</v>
      </c>
    </row>
    <row r="179" spans="1:6" x14ac:dyDescent="0.2">
      <c r="A179" s="2" t="s">
        <v>114</v>
      </c>
      <c r="B179" s="2" t="s">
        <v>5</v>
      </c>
      <c r="C179" s="2">
        <v>38</v>
      </c>
      <c r="D179" s="2">
        <v>96.5</v>
      </c>
      <c r="E179" s="2">
        <v>13</v>
      </c>
      <c r="F179" s="2" t="str">
        <f t="shared" ref="F179:F193" si="5">IF(RIGHT(ROUND(D179,0),2)="13",ROUND(D179,0)&amp;"th",IF(RIGHT(ROUND(D179,0),2)="12",ROUND(D179,0)&amp;"th",IF(RIGHT(ROUND(D179,0),2)="11",ROUND(D179,0)&amp;"th",IF(RIGHT(ROUND(D179,0),1)="1",ROUND(D179,0)&amp;"st",IF(RIGHT(ROUND(D179,0),1)="2",ROUND(D179,0)&amp;"nd",IF(RIGHT(ROUND(D179,0),1)="3",ROUND(D179,0)&amp;"rd",ROUND(D179,0)&amp;"th"))))))</f>
        <v>97th</v>
      </c>
    </row>
    <row r="180" spans="1:6" x14ac:dyDescent="0.2">
      <c r="A180" s="2" t="s">
        <v>114</v>
      </c>
      <c r="B180" s="2" t="s">
        <v>5</v>
      </c>
      <c r="C180" s="2">
        <v>39</v>
      </c>
      <c r="D180" s="2">
        <v>96.5</v>
      </c>
      <c r="E180" s="2">
        <v>13</v>
      </c>
      <c r="F180" s="2" t="str">
        <f t="shared" si="5"/>
        <v>97th</v>
      </c>
    </row>
    <row r="181" spans="1:6" x14ac:dyDescent="0.2">
      <c r="A181" s="2" t="s">
        <v>114</v>
      </c>
      <c r="B181" s="2" t="s">
        <v>5</v>
      </c>
      <c r="C181" s="2">
        <v>40</v>
      </c>
      <c r="D181" s="2">
        <v>96.5</v>
      </c>
      <c r="E181" s="2">
        <v>13</v>
      </c>
      <c r="F181" s="2" t="str">
        <f t="shared" si="5"/>
        <v>97th</v>
      </c>
    </row>
    <row r="182" spans="1:6" x14ac:dyDescent="0.2">
      <c r="A182" s="2" t="s">
        <v>114</v>
      </c>
      <c r="B182" s="2" t="s">
        <v>5</v>
      </c>
      <c r="C182" s="2">
        <v>41</v>
      </c>
      <c r="D182" s="2">
        <v>99</v>
      </c>
      <c r="E182" s="2">
        <v>14</v>
      </c>
      <c r="F182" s="2" t="str">
        <f t="shared" si="5"/>
        <v>99th</v>
      </c>
    </row>
    <row r="183" spans="1:6" x14ac:dyDescent="0.2">
      <c r="A183" s="2" t="s">
        <v>114</v>
      </c>
      <c r="B183" s="2" t="s">
        <v>5</v>
      </c>
      <c r="C183" s="2">
        <v>42</v>
      </c>
      <c r="D183" s="2">
        <v>99</v>
      </c>
      <c r="E183" s="2">
        <v>14</v>
      </c>
      <c r="F183" s="2" t="str">
        <f t="shared" si="5"/>
        <v>99th</v>
      </c>
    </row>
    <row r="184" spans="1:6" x14ac:dyDescent="0.2">
      <c r="A184" s="2" t="s">
        <v>114</v>
      </c>
      <c r="B184" s="2" t="s">
        <v>5</v>
      </c>
      <c r="C184" s="2">
        <v>43</v>
      </c>
      <c r="D184" s="2">
        <v>99</v>
      </c>
      <c r="E184" s="2">
        <v>14</v>
      </c>
      <c r="F184" s="2" t="str">
        <f t="shared" si="5"/>
        <v>99th</v>
      </c>
    </row>
    <row r="185" spans="1:6" x14ac:dyDescent="0.2">
      <c r="A185" s="2" t="s">
        <v>114</v>
      </c>
      <c r="B185" s="2" t="s">
        <v>5</v>
      </c>
      <c r="C185" s="2">
        <v>44</v>
      </c>
      <c r="D185" s="2">
        <v>99.9</v>
      </c>
      <c r="E185" s="2">
        <v>15</v>
      </c>
      <c r="F185" s="2" t="str">
        <f t="shared" si="5"/>
        <v>100th</v>
      </c>
    </row>
    <row r="186" spans="1:6" x14ac:dyDescent="0.2">
      <c r="A186" s="2" t="s">
        <v>114</v>
      </c>
      <c r="B186" s="2" t="s">
        <v>5</v>
      </c>
      <c r="C186" s="2">
        <v>45</v>
      </c>
      <c r="D186" s="2">
        <v>99.9</v>
      </c>
      <c r="E186" s="2">
        <v>15</v>
      </c>
      <c r="F186" s="2" t="str">
        <f t="shared" si="5"/>
        <v>100th</v>
      </c>
    </row>
    <row r="187" spans="1:6" x14ac:dyDescent="0.2">
      <c r="A187" s="2" t="s">
        <v>114</v>
      </c>
      <c r="B187" s="2" t="s">
        <v>5</v>
      </c>
      <c r="C187" s="2">
        <v>46</v>
      </c>
      <c r="D187" s="2">
        <v>99.9</v>
      </c>
      <c r="E187" s="2">
        <v>15</v>
      </c>
      <c r="F187" s="2" t="str">
        <f t="shared" si="5"/>
        <v>100th</v>
      </c>
    </row>
    <row r="188" spans="1:6" x14ac:dyDescent="0.2">
      <c r="A188" s="2" t="s">
        <v>114</v>
      </c>
      <c r="B188" s="2" t="s">
        <v>5</v>
      </c>
      <c r="C188" s="2">
        <v>47</v>
      </c>
      <c r="D188" s="2">
        <v>99.9</v>
      </c>
      <c r="E188" s="2">
        <v>15</v>
      </c>
      <c r="F188" s="2" t="str">
        <f t="shared" si="5"/>
        <v>100th</v>
      </c>
    </row>
    <row r="189" spans="1:6" x14ac:dyDescent="0.2">
      <c r="A189" s="2" t="s">
        <v>114</v>
      </c>
      <c r="B189" s="2" t="s">
        <v>5</v>
      </c>
      <c r="C189" s="2">
        <v>48</v>
      </c>
      <c r="D189" s="2">
        <v>99.9</v>
      </c>
      <c r="E189" s="2">
        <v>15</v>
      </c>
      <c r="F189" s="2" t="str">
        <f t="shared" si="5"/>
        <v>100th</v>
      </c>
    </row>
    <row r="190" spans="1:6" x14ac:dyDescent="0.2">
      <c r="A190" s="2" t="s">
        <v>114</v>
      </c>
      <c r="B190" s="2" t="s">
        <v>5</v>
      </c>
      <c r="C190" s="2">
        <v>49</v>
      </c>
      <c r="D190" s="2">
        <v>99.9</v>
      </c>
      <c r="E190" s="2">
        <v>15</v>
      </c>
      <c r="F190" s="2" t="str">
        <f t="shared" si="5"/>
        <v>100th</v>
      </c>
    </row>
    <row r="191" spans="1:6" x14ac:dyDescent="0.2">
      <c r="A191" s="2" t="s">
        <v>114</v>
      </c>
      <c r="B191" s="2" t="s">
        <v>5</v>
      </c>
      <c r="C191" s="2">
        <v>50</v>
      </c>
      <c r="D191" s="2">
        <v>99.9</v>
      </c>
      <c r="E191" s="2">
        <v>15</v>
      </c>
      <c r="F191" s="2" t="str">
        <f t="shared" si="5"/>
        <v>100th</v>
      </c>
    </row>
    <row r="192" spans="1:6" x14ac:dyDescent="0.2">
      <c r="A192" s="2" t="s">
        <v>114</v>
      </c>
      <c r="B192" s="2" t="s">
        <v>5</v>
      </c>
      <c r="C192" s="2">
        <v>51</v>
      </c>
      <c r="D192" s="2">
        <v>99.9</v>
      </c>
      <c r="E192" s="2">
        <v>15</v>
      </c>
      <c r="F192" s="2" t="str">
        <f t="shared" si="5"/>
        <v>100th</v>
      </c>
    </row>
    <row r="193" spans="1:6" x14ac:dyDescent="0.2">
      <c r="A193" s="2" t="s">
        <v>114</v>
      </c>
      <c r="B193" s="2" t="s">
        <v>5</v>
      </c>
      <c r="C193" s="2">
        <v>52</v>
      </c>
      <c r="D193" s="2">
        <v>99.9</v>
      </c>
      <c r="E193" s="2">
        <v>15</v>
      </c>
      <c r="F193" s="2" t="str">
        <f t="shared" si="5"/>
        <v>100th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C2" sqref="C2"/>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77</v>
      </c>
      <c r="B1" s="14" t="s">
        <v>70</v>
      </c>
      <c r="C1" s="14" t="s">
        <v>78</v>
      </c>
      <c r="D1" s="14" t="s">
        <v>71</v>
      </c>
      <c r="E1" s="14" t="s">
        <v>80</v>
      </c>
      <c r="F1" s="14" t="s">
        <v>74</v>
      </c>
      <c r="G1" s="14" t="s">
        <v>81</v>
      </c>
      <c r="H1" s="14" t="s">
        <v>73</v>
      </c>
      <c r="I1" s="14" t="s">
        <v>82</v>
      </c>
      <c r="J1" s="14" t="s">
        <v>72</v>
      </c>
      <c r="K1" s="14" t="s">
        <v>83</v>
      </c>
      <c r="L1" s="14" t="s">
        <v>76</v>
      </c>
      <c r="M1" s="14" t="s">
        <v>79</v>
      </c>
      <c r="N1" s="14" t="s">
        <v>75</v>
      </c>
      <c r="O1" s="14" t="s">
        <v>94</v>
      </c>
      <c r="P1" s="14" t="s">
        <v>96</v>
      </c>
    </row>
    <row r="2" spans="1:16" ht="113.25" x14ac:dyDescent="0.25">
      <c r="A2" s="1" t="s">
        <v>114</v>
      </c>
      <c r="B2" s="1" t="s">
        <v>948</v>
      </c>
      <c r="C2" s="1" t="s">
        <v>944</v>
      </c>
      <c r="D2" s="1">
        <v>3</v>
      </c>
      <c r="E2" s="1" t="s">
        <v>62</v>
      </c>
      <c r="F2" s="1" t="s">
        <v>91</v>
      </c>
      <c r="G2" s="1" t="s">
        <v>60</v>
      </c>
      <c r="H2" s="1" t="s">
        <v>945</v>
      </c>
      <c r="I2" s="1" t="s">
        <v>61</v>
      </c>
      <c r="J2" s="1" t="s">
        <v>92</v>
      </c>
      <c r="M2" s="1" t="s">
        <v>946</v>
      </c>
      <c r="N2" s="1" t="s">
        <v>947</v>
      </c>
      <c r="O2" s="1" t="s">
        <v>949</v>
      </c>
      <c r="P2" s="1" t="s">
        <v>95</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FL6</vt:lpstr>
      <vt:lpstr>FL6_QA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2014-06-27T19:17:24Z</dcterms:modified>
</cp:coreProperties>
</file>