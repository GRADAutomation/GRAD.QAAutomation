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9" sheetId="33" r:id="rId1"/>
    <sheet name="FL9_QA" sheetId="34"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33" l="1"/>
  <c r="K144" i="33"/>
  <c r="K143" i="33"/>
  <c r="K142" i="33"/>
  <c r="K141" i="33"/>
  <c r="K140" i="33"/>
  <c r="K139" i="33"/>
  <c r="K138" i="33"/>
  <c r="K137" i="33"/>
  <c r="K136" i="33"/>
  <c r="K135" i="33"/>
  <c r="K134" i="33"/>
  <c r="K133" i="33"/>
  <c r="K132" i="33"/>
  <c r="K131" i="33"/>
  <c r="K130" i="33"/>
  <c r="K129" i="33"/>
  <c r="K128" i="33"/>
  <c r="K127" i="33"/>
  <c r="K126" i="33"/>
  <c r="K125" i="33"/>
  <c r="K124" i="33"/>
  <c r="K123" i="33"/>
  <c r="K122" i="33"/>
  <c r="K121" i="33"/>
  <c r="K120" i="33"/>
  <c r="K119" i="33"/>
  <c r="K118" i="33"/>
  <c r="K117" i="33"/>
  <c r="K116" i="33"/>
  <c r="K115" i="33"/>
  <c r="K114" i="33"/>
  <c r="K113" i="33"/>
  <c r="K112" i="33"/>
  <c r="K111" i="33"/>
  <c r="K110" i="33"/>
  <c r="K109" i="33"/>
  <c r="K108" i="33"/>
  <c r="K107" i="33"/>
  <c r="K106" i="33"/>
  <c r="K105" i="33"/>
  <c r="K104" i="33"/>
  <c r="K103" i="33"/>
  <c r="K102" i="33"/>
  <c r="K101" i="33"/>
  <c r="K100" i="33"/>
  <c r="K99" i="33"/>
  <c r="K98" i="33"/>
  <c r="K97" i="33"/>
  <c r="K96" i="33"/>
  <c r="K95" i="33"/>
  <c r="K94" i="33"/>
  <c r="K93" i="33"/>
  <c r="K92" i="33"/>
  <c r="K91" i="33"/>
  <c r="K90" i="33"/>
  <c r="K89" i="33"/>
  <c r="K88" i="33"/>
  <c r="K87" i="33"/>
  <c r="K86" i="33"/>
  <c r="K85" i="33"/>
  <c r="K84" i="33"/>
  <c r="K83" i="33"/>
  <c r="K82" i="33"/>
  <c r="K81" i="33"/>
  <c r="K80" i="33"/>
  <c r="K79" i="33"/>
  <c r="K78" i="33"/>
  <c r="K77" i="33"/>
  <c r="K76" i="33"/>
  <c r="K75" i="33"/>
  <c r="K74" i="33"/>
  <c r="K73" i="33"/>
  <c r="K72" i="33"/>
  <c r="K71" i="33"/>
  <c r="K70" i="33"/>
  <c r="K69" i="33"/>
  <c r="K68" i="33"/>
  <c r="K67" i="33"/>
  <c r="K66" i="33"/>
  <c r="K65" i="33"/>
  <c r="K64" i="33"/>
  <c r="K63" i="33"/>
  <c r="K62" i="33"/>
  <c r="K61" i="33"/>
  <c r="K60" i="33"/>
  <c r="K59" i="33"/>
  <c r="K58" i="33"/>
  <c r="K57" i="33"/>
  <c r="K56" i="33"/>
  <c r="K55" i="33"/>
  <c r="K54" i="33"/>
  <c r="K53" i="33"/>
  <c r="K52" i="33"/>
  <c r="K51" i="33"/>
  <c r="K50" i="33"/>
  <c r="K49" i="33"/>
  <c r="K48" i="33"/>
  <c r="K47" i="33"/>
  <c r="K46" i="33"/>
  <c r="K45" i="33"/>
  <c r="K44" i="33"/>
  <c r="K43" i="33"/>
  <c r="K42" i="33"/>
  <c r="K41" i="33"/>
  <c r="K40" i="33"/>
  <c r="K39" i="33"/>
  <c r="K38" i="33"/>
  <c r="K37" i="33"/>
  <c r="K36" i="33"/>
  <c r="K35" i="33"/>
  <c r="K34" i="33"/>
  <c r="K33" i="33"/>
  <c r="K32" i="33"/>
  <c r="K31" i="33"/>
  <c r="K30" i="33"/>
  <c r="K29" i="33"/>
  <c r="K28" i="33"/>
  <c r="K27" i="33"/>
  <c r="K26" i="33"/>
  <c r="K25" i="33"/>
  <c r="K24" i="33"/>
  <c r="K23" i="33"/>
  <c r="K22" i="33"/>
  <c r="K21" i="33"/>
  <c r="K20" i="33"/>
  <c r="K19" i="33"/>
  <c r="K18" i="33"/>
  <c r="K17" i="33"/>
  <c r="K16" i="33"/>
  <c r="K15" i="33"/>
  <c r="K14" i="33"/>
  <c r="K13" i="33"/>
  <c r="K12" i="33"/>
  <c r="K11" i="33"/>
  <c r="K10" i="33"/>
  <c r="K9" i="33"/>
  <c r="K8" i="33"/>
  <c r="K7" i="33"/>
  <c r="K6" i="33"/>
  <c r="K5" i="33"/>
  <c r="K4" i="33"/>
  <c r="K3" i="33"/>
  <c r="K2" i="33"/>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<sst xmlns="http://schemas.openxmlformats.org/spreadsheetml/2006/main" count="2075" uniqueCount="964">
  <si>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</si>
  <si>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</si>
  <si>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</si>
  <si>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</si>
  <si>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</si>
  <si>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</si>
  <si>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</si>
  <si>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</si>
  <si>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</si>
  <si>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</si>
  <si>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</si>
  <si>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</si>
  <si>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</si>
  <si>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</si>
  <si>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</si>
  <si>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</si>
  <si>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</si>
  <si>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</si>
  <si>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</si>
  <si>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</si>
  <si>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</si>
  <si>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</si>
  <si>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</si>
  <si>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</si>
  <si>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</si>
  <si>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</si>
  <si>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</si>
  <si>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</si>
  <si>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</si>
  <si>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Compounds and Stoichiometry</t>
  </si>
  <si>
    <t>Units and Kinematics</t>
  </si>
  <si>
    <t>Newtonian Mechanics</t>
  </si>
  <si>
    <t>Periodic Table and Trends</t>
  </si>
  <si>
    <t>Redox Reactions and Electrochemistry</t>
  </si>
  <si>
    <t>Fluids/Solids</t>
  </si>
  <si>
    <t>Acids and Bases</t>
  </si>
  <si>
    <t>Solution Chemistry</t>
  </si>
  <si>
    <t>Electrostatics</t>
  </si>
  <si>
    <t>Magnetism</t>
  </si>
  <si>
    <t>Atomic and Electronic Structure</t>
  </si>
  <si>
    <t>Thermodynamics/Thermochemistry</t>
  </si>
  <si>
    <t>Geometrical Optics</t>
  </si>
  <si>
    <t>Detail</t>
  </si>
  <si>
    <t>Evaluation</t>
  </si>
  <si>
    <t>Global</t>
  </si>
  <si>
    <t>Application</t>
  </si>
  <si>
    <t>Incorporation</t>
  </si>
  <si>
    <t>Deduction</t>
  </si>
  <si>
    <t>Enzymes and Cellular Metabolism</t>
  </si>
  <si>
    <t>Isomerism</t>
  </si>
  <si>
    <t>Alcohols and Ethers</t>
  </si>
  <si>
    <t>Circulatory System</t>
  </si>
  <si>
    <t>Molecular Biology</t>
  </si>
  <si>
    <t>Generalized Eukaryotic Cell</t>
  </si>
  <si>
    <t>Aromaticity</t>
  </si>
  <si>
    <t>Microbiology</t>
  </si>
  <si>
    <t>Amines</t>
  </si>
  <si>
    <t>Separation and Purification Techniques</t>
  </si>
  <si>
    <t>Mendelian Genetics</t>
  </si>
  <si>
    <t>Reproduction and Development</t>
  </si>
  <si>
    <t>Lymphatic and Immune Systems</t>
  </si>
  <si>
    <t>TabLabel</t>
  </si>
  <si>
    <t>None</t>
  </si>
  <si>
    <t>Verbal Reasoning</t>
  </si>
  <si>
    <t>Biological Sciences</t>
  </si>
  <si>
    <t>Physical Sciences</t>
  </si>
  <si>
    <t>Expected_Result</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</si>
  <si>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</si>
  <si>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</si>
  <si>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</si>
  <si>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</si>
  <si>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</si>
  <si>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</si>
  <si>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</si>
  <si>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</si>
  <si>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</si>
  <si>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</si>
  <si>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</si>
  <si>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</si>
  <si>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</si>
  <si>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</si>
  <si>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</si>
  <si>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</si>
  <si>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</si>
  <si>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</si>
  <si>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</si>
  <si>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</si>
  <si>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</si>
  <si>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</si>
  <si>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</si>
  <si>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</si>
  <si>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</si>
  <si>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</si>
  <si>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</si>
  <si>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</si>
  <si>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</si>
  <si>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</si>
  <si>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</si>
  <si>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</si>
  <si>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 only</t>
  </si>
  <si>
    <t>I and III only</t>
  </si>
  <si>
    <t>II and III only</t>
  </si>
  <si>
    <t>I, II, and III</t>
  </si>
  <si>
    <t/>
  </si>
  <si>
    <t>I only</t>
  </si>
  <si>
    <t>II only</t>
  </si>
  <si>
    <t>III only</t>
  </si>
  <si>
    <t>10</t>
  </si>
  <si>
    <t>4:1</t>
  </si>
  <si>
    <t>1:1</t>
  </si>
  <si>
    <t>There is no passage associated with these questions.</t>
  </si>
  <si>
    <t>I, II and III</t>
  </si>
  <si>
    <t>25%</t>
  </si>
  <si>
    <t>50%</t>
  </si>
  <si>
    <t>75%</t>
  </si>
  <si>
    <t>Total</t>
  </si>
  <si>
    <t>Percentile_Num</t>
  </si>
  <si>
    <t>Percentile_th</t>
  </si>
  <si>
    <t>Totals</t>
  </si>
  <si>
    <t>FL9</t>
  </si>
  <si>
    <t>1</t>
  </si>
  <si>
    <t>2</t>
  </si>
  <si>
    <t>3</t>
  </si>
  <si>
    <t>4</t>
  </si>
  <si>
    <t>6</t>
  </si>
  <si>
    <t>4%</t>
  </si>
  <si>
    <t>A</t>
  </si>
  <si>
    <t>C</t>
  </si>
  <si>
    <t>Bonding</t>
  </si>
  <si>
    <t>Sound</t>
  </si>
  <si>
    <t>Excretory System</t>
  </si>
  <si>
    <t>Digestive System</t>
  </si>
  <si>
    <t>Muscle and Skeletal Systems</t>
  </si>
  <si>
    <t>Carboxylic Acids and Their Derivatives</t>
  </si>
  <si>
    <t>Nervous System</t>
  </si>
  <si>
    <t>Light</t>
  </si>
  <si>
    <t>5</t>
  </si>
  <si>
    <t>100%</t>
  </si>
  <si>
    <t>0</t>
  </si>
  <si>
    <t>1:4</t>
  </si>
  <si>
    <t>ACTACTA</t>
  </si>
  <si>
    <t>CATGTAG</t>
  </si>
  <si>
    <t>GACGACT</t>
  </si>
  <si>
    <t>0%</t>
  </si>
  <si>
    <t>Phases/Phase Equilibria</t>
  </si>
  <si>
    <t>+2</t>
  </si>
  <si>
    <t>Pancreas</t>
  </si>
  <si>
    <t>MCAT Full Length 9 - Physical Sciences</t>
  </si>
  <si>
    <t>MCAT Full Length 9 - Verbal Reasoning</t>
  </si>
  <si>
    <t>MCAT Full Length 9 - Biological Sciences</t>
  </si>
  <si>
    <t>MCAT Full Length 9 - MCAT Full Length 9</t>
  </si>
  <si>
    <t>I &gt; III &gt; II</t>
  </si>
  <si>
    <t>II &gt; III &gt; I</t>
  </si>
  <si>
    <t>III &gt; I &gt; II</t>
  </si>
  <si>
    <t>8:1</t>
  </si>
  <si>
    <t>1.00 s</t>
  </si>
  <si>
    <t>1.50 s</t>
  </si>
  <si>
    <t>+4</t>
  </si>
  <si>
    <t>Why does the Voight model indicate an asymptotic limit of elongation during constant stretch over time while the Maxwell model does not?</t>
  </si>
  <si>
    <t>The two component forces in parallel are dissipated; this reduces the amount of stretch possible.</t>
  </si>
  <si>
    <t>The ability of the viscous component to stretch infinitely is limited by the elastic component.</t>
  </si>
  <si>
    <t>The ability of the elastic component to stretch infinitely is limited by the viscous component.</t>
  </si>
  <si>
    <t>The Voight model accounts for the potential of material failure under extreme strain.</t>
  </si>
  <si>
    <t>Which of the following properties would always increase the Young's modulus of a viscoelastic material as described by either model?</t>
  </si>
  <si>
    <t>increase k</t>
  </si>
  <si>
    <t>increase η</t>
  </si>
  <si>
    <t>decrease k</t>
  </si>
  <si>
    <t>decrease η</t>
  </si>
  <si>
    <t>If a constant force F0 is applied to a material, which of the following information is sufficient to calculate the viscosity of the material?</t>
  </si>
  <si>
    <t>original length of the material</t>
  </si>
  <si>
    <t>time of elongation</t>
  </si>
  <si>
    <t>speed of elongation</t>
  </si>
  <si>
    <t>length of elongation</t>
  </si>
  <si>
    <t>If a constant force F0 is applied to stretch a material described by the Maxwell model, what would be the initial elongation value at t = 0?</t>
  </si>
  <si>
    <t>F0/k</t>
  </si>
  <si>
    <t>F0/(k+η)</t>
  </si>
  <si>
    <t>F0/(k+η/t)</t>
  </si>
  <si>
    <t>Which of the following graphs best illustrate the elongation of a viscoelastic material as modeled by the diagram below?</t>
  </si>
  <si>
    <t>Certain biological materials like human cartilage have the unique property of viscoelasticity. A viscoelastic material has both the characteristics of a solid and a fluid, and therefore is often analyzed by its solid and fluid components separately. The solid component of the material is modeled as a spring, where the elastic force the material exerts to resist deformation is proportional to the degree of strain, as in Hooke's Law (F = kx, where x is amount of elongation and k is the stiffness, or elasticity, of the material). The fluid component is modeled as a damper, where the viscous force exerted is proportional to the speed of deformation (F = ηv, where v is the speed of elongation and η is the dampening effect, or viscosity, of the material). Hence, the elastic force will increase with more strain, and the viscous force will increase the faster you strain the material. Using these basic principles, two models have been proposed for the analysis of viscoelastic materials:</t>
  </si>
  <si>
    <t>A Zn2+ complex is colorless in aqueous solution because:</t>
  </si>
  <si>
    <t>all zinc complexes are colorless; zinc metal is silver in color, and the loss of two electrons makes the metal ion less colorful.</t>
  </si>
  <si>
    <t>the crystal field splitting energy is very large for a zinc complex; therefore, the transition between the low–and high-lying orbitals is great enough to be beyond the visible range in the electromagnetic spectrum.</t>
  </si>
  <si>
    <t>the crystal field splitting energy is very small for a zinc complex, so the transition between t2g and eg orbitals is not great enough to produce a color.</t>
  </si>
  <si>
    <t>the eg orbitals are filled for zinc complexes, making a promotion impossible.</t>
  </si>
  <si>
    <t>As the bromide ions in K3CrBr6 are exchanged for CN– ions, what happens to the color of the solution?</t>
  </si>
  <si>
    <t>Both bromide and cyanide are negatively charged ions, so the color of the solution will not change as the ions are exchanged.</t>
  </si>
  <si>
    <t>Since the complex is dissolved in water, the color will not change because all the ions stay in solution.</t>
  </si>
  <si>
    <t>The color will become more intense as the complex changes from high spin to low spin.</t>
  </si>
  <si>
    <t>The color will change from blue to red because the frequency of the transition will decrease as Δ0 decreases.</t>
  </si>
  <si>
    <t>Will a complex of Mn2+ exhibit paramagnetic qualities?</t>
  </si>
  <si>
    <t>No, because all the electrons are paired in a manganese complex.</t>
  </si>
  <si>
    <t>Yes, because there are unpaired electrons in a manganese complex.</t>
  </si>
  <si>
    <t>Yes, because all the electrons are paired in a manganese complex.</t>
  </si>
  <si>
    <t>No, because there are unpaired electrons in a manganese complex.</t>
  </si>
  <si>
    <t>As a Fe2+ complex shifts from high spin to low spin, how will its magnetic properties change?</t>
  </si>
  <si>
    <t>All iron compounds are paramagnetic, so a change from high to low spin will not affect the magnetic properties of an iron complex.</t>
  </si>
  <si>
    <t>The complex will lose its paramagnetic properties because the large crystal field splitting energy will force electrons to occupy the lower-lying t2g orbitals.</t>
  </si>
  <si>
    <t>The complex will lose its paramagnetic properties because the small crystal field splitting energy of the low spin complex will force electrons to be paired in the eg orbitals.</t>
  </si>
  <si>
    <t>The complex will become paramagnetic because a shift from high to low spin will raise the crystal field splitting energy, causing electrons to become unpaired.</t>
  </si>
  <si>
    <t>How many electrons does it take to fill the d orbitals of a low-spin coordination complex?</t>
  </si>
  <si>
    <t>An aqueous solution of Mn(NO3)2 has a faint color, while an equimolar solution of K4Mn(CN)6 is brightly colored. Will a solution of K4MnCl6 have a bright or faint color?</t>
  </si>
  <si>
    <t>The solution will be brightly colored because the complex has a similar structure to that of the brightly colored K4Mn(CN)6 solution.</t>
  </si>
  <si>
    <t>The solution will be faintly colored because the complex has a similar structure to that of the Mn(NO3)2 solution.</t>
  </si>
  <si>
    <t>The solution will be brightly colored because chloride ions tend to cause a strong color when coordinated with manganese ions.</t>
  </si>
  <si>
    <t>The solution will be faintly colored because chloride ions produce high spin coordination complexes.</t>
  </si>
  <si>
    <t>Coordination complexes are groups of ions that stay together as a unit even in solution. Coordination complexes of transition metals take a variety of forms and exhibit various colors and magnetic properties. This behavior is directly linked to the unique nature of bonding in coordination complexes. One energy model for coordination complexes is crystal field theory (CFT). According to CFT, the central metal ion is positively charged, while negatively charged ligands surround it. Therefore, the model treats bonding as though it were purely ionic. This model is especially useful for octahedral complexes because of the one-to-one correlation of axes to ligands: one of the six ligands occupies each half of each of the x, y and z axes. The interaction between ligands and the central metal ion cause a perturbation in the energies of the 3d orbitals of the transition metal; some of the orbitals (dz2, dx2–y2) have larger repulsions, so their energies are raised by the bonding interaction, while other orbitals (dxy, dxz, dyz) have smaller repulsions resulting in lowered energy levels. Depending upon the strength of the ligand, the crystal field splitting energy (called Δ0) between the lower and higher energy levels may be large or small. A large Δ0 leads to a complex that is low spin, while a small Δ0 leads to a high spin complex.</t>
  </si>
  <si>
    <t>What is the Keq of the neutralization reaction between oxalic acid (H2C2O4; KA1 = 5.9 × 10-2) and sodium hydroxide?</t>
  </si>
  <si>
    <t>5.9 × 10-2</t>
  </si>
  <si>
    <t>5.9 × 1012</t>
  </si>
  <si>
    <t>5.9 × 1014</t>
  </si>
  <si>
    <t>infinity</t>
  </si>
  <si>
    <t>Upon entering a uniform magnetic field a charged particle moves in a circular motion at constant speed. If the strength of the magnetic field is doubled:</t>
  </si>
  <si>
    <t>the radius will decrease and the angular frequency will increase.</t>
  </si>
  <si>
    <t>both the radius and the angular frequency will decrease.</t>
  </si>
  <si>
    <t>the radius will increase and the angular frequency will decrease.</t>
  </si>
  <si>
    <t>both the radius and the angular frequency will increase.</t>
  </si>
  <si>
    <t>Tire A has a radius of 0.25 m and is rolling down a hill at a constant velocity of 10 m/s. Tire B has a radius of 0.50 m and is rolling down a hill at a constant velocity of 5 m/s. What is the ratio of the angular frequency of Tire A to the angular frequency of Tire B?</t>
  </si>
  <si>
    <t>A 20-cm spring is hung vertically, and a 2-kg mass is hung from the end. If the spring stretches 6 cm due to the weight of the mass, then what is the spring's force constant?</t>
  </si>
  <si>
    <t>0.75 N/m</t>
  </si>
  <si>
    <t>3.33 N/m</t>
  </si>
  <si>
    <t>75.4 N/m</t>
  </si>
  <si>
    <t>333 N/m</t>
  </si>
  <si>
    <t>If a jet flying at Mach 3 high in the atmosphere attempts to fly around the Earth, about how long will it take to complete the trip? (Diameter of Earth = 1.28 × 104 km)</t>
  </si>
  <si>
    <t>3.1 hours</t>
  </si>
  <si>
    <t>12.4 hours</t>
  </si>
  <si>
    <t>24.8 hours</t>
  </si>
  <si>
    <t>37.2 hours</t>
  </si>
  <si>
    <t>Which of the following is implied by the passage?</t>
  </si>
  <si>
    <t>The velocity of sound is constant in air.</t>
  </si>
  <si>
    <t>The frequency of sound decreases as it passes from one medium to another.</t>
  </si>
  <si>
    <t>Sound waves emitted by the nose of the jet have the same intensity as those emitted by the back.</t>
  </si>
  <si>
    <t>The temperature of air decreases as altitude increases.</t>
  </si>
  <si>
    <t>The figure shown below best diagrams a jet moving at:</t>
  </si>
  <si>
    <t>subsonic speed.</t>
  </si>
  <si>
    <t>the speed of sound.</t>
  </si>
  <si>
    <t>supersonic speed.</t>
  </si>
  <si>
    <t>supersonic speed, then slowing to subsonic speed.</t>
  </si>
  <si>
    <t>Two jets, at the same subsonic speed and emitting identical sound waves, start at the same position and fly away from a detector. Later, as one of the jets increases its speed, the beat frequency detected by the stationary detector:</t>
  </si>
  <si>
    <t>increases from an initial frequency of zero.</t>
  </si>
  <si>
    <t>decreases from an initial frequency of zero.</t>
  </si>
  <si>
    <t>increases from an initial non-zero frequency.</t>
  </si>
  <si>
    <t>decreases from an initial non-zero frequency.</t>
  </si>
  <si>
    <t>At the exact time a supersonic jet is flying overhead and emitting sound waves, two people are swimming underwater in the ocean, while their friend is sunbathing on land. Which of the following must be true?</t>
  </si>
  <si>
    <t>All three people will hear the sound waves at the same time.</t>
  </si>
  <si>
    <t>All three people will hear the same frequency of sound waves.</t>
  </si>
  <si>
    <t>The swimmers will hear the sound waves before the sunbather hears them.</t>
  </si>
  <si>
    <t>The swimmers will hear the same wavelength of sound as the sunbather.</t>
  </si>
  <si>
    <t>Suppose the pilot chair in a supersonic jet is constructed with a single large spring in its back to support the pilot. As the pilot lands his jet, he brings it from supersonic speed to rest at a constant acceleration, the force exerted by the spring is:</t>
  </si>
  <si>
    <t>inversely proportional to the mass of the pilot.</t>
  </si>
  <si>
    <t>inversely proportional to the constant of the spring.</t>
  </si>
  <si>
    <t>directly proportional to the time it takes to bring the jet to rest.</t>
  </si>
  <si>
    <t>directly proportional to the original velocity of the jet.</t>
  </si>
  <si>
    <t>A jet attempting to reach supersonic speed must break a "sound barrier." When the jet is flying at subsonic speed, the sound waves it produces—represented by circles in Figure 1—travel faster than the jet.</t>
  </si>
  <si>
    <t>The value for carbonic acid is smaller than the value because once the first hydrogen ion is removed from carbonic acid, the:</t>
  </si>
  <si>
    <t>negative charge on the bicarbonate ion causes the second hydrogen ion to be more tightly held.</t>
  </si>
  <si>
    <t>concentration of bicarbonate ion decreases, so there are fewer ions from which to dissociate a hydrogen ion.</t>
  </si>
  <si>
    <t>molecular geometry of the bicarbonate ion changes, causing the negative charge to be more tightly held.</t>
  </si>
  <si>
    <t>bicarbonate ion forms hydrogen bonds between oxygen lone pairs and the hydrogen atoms of neighboring bicarbonate ions.</t>
  </si>
  <si>
    <t>What is the molecular geometry of the carbonate ion?</t>
  </si>
  <si>
    <t>tetrahedral</t>
  </si>
  <si>
    <t>bent</t>
  </si>
  <si>
    <t>trigonal pyramidal</t>
  </si>
  <si>
    <t>trigonal planar</t>
  </si>
  <si>
    <t>In Experiment 2, how does the color of the solution change when the dry ice is added?</t>
  </si>
  <si>
    <t>The solution started out blue and was not changed by the addition of dry ice because dry ice sublimes; the carbon dioxide was released from the solution as a gas.</t>
  </si>
  <si>
    <t>The solution started out blue and became colorless upon addition of dry ice because the CO2 dissolved to form carbonic acid.</t>
  </si>
  <si>
    <t>The solution started out clear and turned blue upon addition of dry ice because the CO2 dissolved, forming carbonic acid that neutralized the potassium hydroxide.</t>
  </si>
  <si>
    <t>The solution started out clear and was unaffected by the addition of the dry ice.</t>
  </si>
  <si>
    <t>Which of the following quantities are equal?</t>
  </si>
  <si>
    <t>How many major resonance structures does the carbonate ion have?</t>
  </si>
  <si>
    <t>None: the carbonate ion has just one major structure.</t>
  </si>
  <si>
    <t>A student is studying carbonic acid, a weak diprotic acid. Since carbonic acid has two protons available for dissociation, two equilibria exist simultaneously in solution. The equilibria involved in the ionization of carbonic acid are shown in Reactions 1 and 2, along with their Ka values:</t>
  </si>
  <si>
    <t>A beam of light refracts as it passes from air into water (n = 4/3). What is the speed of the refracted light beam?</t>
  </si>
  <si>
    <t>2.00 × 108 m/s</t>
  </si>
  <si>
    <t>2.23 × 108 m/s</t>
  </si>
  <si>
    <t>3.00 × 108 m/s</t>
  </si>
  <si>
    <t>4.00 × 108 m/s</t>
  </si>
  <si>
    <t>Which of the following is true of a galvanic cell?</t>
  </si>
  <si>
    <t>ΔG is negative and the half-reactions are non-spontaneous.</t>
  </si>
  <si>
    <t>ΔG is negative and the half-reactions are spontaneous.</t>
  </si>
  <si>
    <t>ΔG is positive and the half-reactions are spontaneous.</t>
  </si>
  <si>
    <t>ΔG is positive and the half-reactions are non-spontaneous.</t>
  </si>
  <si>
    <t>Which of the following describes the entropy change for the sublimation of carbon dioxide: CO2(s) → CO2(g)?</t>
  </si>
  <si>
    <t>ΔS &lt; 0</t>
  </si>
  <si>
    <t>ΔS = 0</t>
  </si>
  <si>
    <t>ΔS &gt; 0</t>
  </si>
  <si>
    <t>The value for the entropy change depends on the temperature.</t>
  </si>
  <si>
    <t>A 0.2-kg, 3-meter wire contains a 1-A current:</t>
  </si>
  <si>
    <t>1.5 N to the left</t>
  </si>
  <si>
    <t>1.5 N to the right</t>
  </si>
  <si>
    <t>7.5 N to the left</t>
  </si>
  <si>
    <t>7.5 N to the right</t>
  </si>
  <si>
    <t>Is Reaction 1 spontaneous?</t>
  </si>
  <si>
    <t>Yes, because ΔS is negative for the reaction.</t>
  </si>
  <si>
    <t>Yes, because ΔG is negative for the reaction.</t>
  </si>
  <si>
    <t>No, because ΔG is negative for the reaction.</t>
  </si>
  <si>
    <t>No, because ΔS is negative for the reaction.</t>
  </si>
  <si>
    <t>The oxidation of titanium in TiO2 is:</t>
  </si>
  <si>
    <t>-2</t>
  </si>
  <si>
    <t>+6</t>
  </si>
  <si>
    <t>Reaction 1 is best described as:</t>
  </si>
  <si>
    <t>an oxidation-reduction reaction in which Ti is reduced.</t>
  </si>
  <si>
    <t>an oxidation-reduction reaction in which Ti is oxidized.</t>
  </si>
  <si>
    <t>an exchange reaction.</t>
  </si>
  <si>
    <t>a hydrolysis reaction.</t>
  </si>
  <si>
    <t>Which of the following is the electronic configuration of Ti4+ in titanium tetrachloride?</t>
  </si>
  <si>
    <t>[Ar]</t>
  </si>
  <si>
    <t>[Ar]4s13d3</t>
  </si>
  <si>
    <t>[Ar]4s23d2</t>
  </si>
  <si>
    <t>[Ar]3d4</t>
  </si>
  <si>
    <t>Based on the information in the passage, which of the following reactions is least likely to occur?</t>
  </si>
  <si>
    <t>TiO2(s) + O2(g) → TiO4(g)</t>
  </si>
  <si>
    <t>TiCl4(g) + 2 H2(g) → Ti(s) + 4 HCl(aq)</t>
  </si>
  <si>
    <t>TiCl4(g) + 2 Mg(l) → Ti(s) + 2 MgCl2(s)</t>
  </si>
  <si>
    <t>TiBr4(s) + 2 H2O(l) → TiO2(s) + 4 HBr(aq)</t>
  </si>
  <si>
    <t>Which of the following would inhibit the production of titanium dioxide according to Reaction 1?</t>
  </si>
  <si>
    <t>Titanium (atomic number 22) has long been prized for its strength, its low density and its resistance to corrosion. Both elemental titanium and compounds containing the metal are widely used in medical products, in skywriting chemicals and in thin films for lenses and ceramics. Medical products companies also use titanium in artificial hip replacements for human patients. This metal, which is effectively inert, is ideal for medical use, as even continuous contact with bodily fluids leaves it unchanged. Along with its resistance to corrosion, the low density of titanium makes its use in the body less burdensome than denser metals. One way titanium resists corrosion is to form a thin layer, or skin, of titanium dioxide. Titanium dioxide is a stable white compound which is formed by the following reaction:</t>
  </si>
  <si>
    <t>What can be stated about the light emitted by potassium as compared to sodium? Potassium emits light with a:</t>
  </si>
  <si>
    <t>longer wavelength and higher energy than sodium.</t>
  </si>
  <si>
    <t>shorter wavelength and higher energy than sodium.</t>
  </si>
  <si>
    <t>longer wavelength and lower energy than sodium.</t>
  </si>
  <si>
    <t>shorter wavelength and lower energy than sodium.</t>
  </si>
  <si>
    <t>Elements in the same group are known to have similar chemical properties. Would sodium perchlorate be a good oxidizer for a red firework?</t>
  </si>
  <si>
    <t>No, sodium is less reactive than potassium. Consequently, sodium perchlorate will not produce enough energy.</t>
  </si>
  <si>
    <t>Yes, sodium is more reactive than potassium. Consequently, sodium perchlorate will produce enough energy to create the red color.</t>
  </si>
  <si>
    <t>No, sodium will create its own color (yellow), thereby washing out the red color.</t>
  </si>
  <si>
    <t>Yes, sodium will create its own color (yellow), thereby enhancing the red color.</t>
  </si>
  <si>
    <t>What is the balanced heat generating reaction in a firework when aluminum and potassium perchlorate are used?</t>
  </si>
  <si>
    <t>Al + KClO4 → Al2O3 + KCl</t>
  </si>
  <si>
    <t>Al + KClO4 → AlO2 + KCl</t>
  </si>
  <si>
    <t>8Al + 3KClO4 → 4Al2O3 + 3KCl</t>
  </si>
  <si>
    <t>Al + KClO4 → 2AlO2 + KCl</t>
  </si>
  <si>
    <t>Why don't the oxidizer and fuel react while being stored?</t>
  </si>
  <si>
    <t>The oxidizer and fuel are solid; therefore, they do not mix and cannot react.</t>
  </si>
  <si>
    <t>They do react and cannot be stored.</t>
  </si>
  <si>
    <t>They are physically separated in the firework by dextrin.</t>
  </si>
  <si>
    <t>An inhibitor such as dextrin is added that prevents the oxidizer and fuel from reacting until the firework is lit.</t>
  </si>
  <si>
    <t>Why do strontium salts produce a red color while barium salts produce a green color?</t>
  </si>
  <si>
    <t>The energy difference between a 5s and a 5d orbital is more than that between a 6s and a 6d orbital.</t>
  </si>
  <si>
    <t>The energy difference between a 5s and a 5d orbital is less than that between a 6s and a 6d orbital.</t>
  </si>
  <si>
    <t>The energy difference between a 5s and a 6s orbital is more than that between a 6s and a 7s orbital.</t>
  </si>
  <si>
    <t>The energy difference between a 5s and a 6s orbital is less than that between a 6s and a 7s orbital.</t>
  </si>
  <si>
    <t>Why is lighting the fuse of a firework necessary to generate a reaction between the fuel and the oxidizer?</t>
  </si>
  <si>
    <t>The heat from the fuse melts the dextrin separating the fuel and oxidizer, allowing the two to mix.</t>
  </si>
  <si>
    <t>The reaction is endothermic, and therefore requires heat from the fuse in order to take place</t>
  </si>
  <si>
    <t>The heat from the fuse melts the oxidizer and fuel, allowing them to mix completely and begin reacting.</t>
  </si>
  <si>
    <t>The heat from the fuse causes the oxidizer to release its oxygen, which must take place before the fuel can react with the oxidizer.</t>
  </si>
  <si>
    <t>Fireworks use a handful of simple compounds to produce an array of dazzling colors. A standard formula requires an oxidizer, a fuel, and metal salts for special effects. The oxidizer and fuel react, producing the noise and flashes commonly associated with fireworks. The purpose of the oxidizer is to provide a high concentration of oxygen within the firework. A typical oxidizer is potassium perchlorate (KClO4), which releases all four of its oxygen atoms into the atmosphere during combustion. The fuel, often sulfur or carbon, binds to the oxygen and produces an extremely hot gas. Metals such as aluminum or magnesium can be used as a fuel; using metals increases the rate at which the oxygen burns while enhancing the brightness of the other colors. Furthermore, using aluminum or magnesium granules will create sparks of light (as is done in sparklers).</t>
  </si>
  <si>
    <t>In Figure 1, what direction do the emitted magnetic fields flow?</t>
  </si>
  <si>
    <t>away from the antenna, just like the electric fields</t>
  </si>
  <si>
    <t>in horizontal concentric circles around the antenna</t>
  </si>
  <si>
    <t>in vertical concentric circles, in the plane of the antenna</t>
  </si>
  <si>
    <t>The magnetic field flows in random directions.</t>
  </si>
  <si>
    <t>If, at a particular time, the electric field E near the antenna is pointing upwards (along the antenna), in what direction is the force on a stationary electron inside that field?</t>
  </si>
  <si>
    <t>upward</t>
  </si>
  <si>
    <t>downward</t>
  </si>
  <si>
    <t>toward the antenna</t>
  </si>
  <si>
    <t>away from the antenna</t>
  </si>
  <si>
    <t>If the wavelength of the EM wave propagating from the antenna is 5 m, what is the period of oscillation?</t>
  </si>
  <si>
    <t>1.7 × 10–8 s</t>
  </si>
  <si>
    <t>1.1 × 10–7 s</t>
  </si>
  <si>
    <t>3.8 × 10–6 s</t>
  </si>
  <si>
    <t>6.0 × 107 s</t>
  </si>
  <si>
    <t>Which of the following would increase the intensity of the EM wave emitted from the antenna?</t>
  </si>
  <si>
    <t>increasing the frequency of the AC generator</t>
  </si>
  <si>
    <t>increasing the period of the current in the antenna</t>
  </si>
  <si>
    <t>increasing the length of the two rods</t>
  </si>
  <si>
    <t>increasing the maximum voltage of the AC generator</t>
  </si>
  <si>
    <t>If the electrical potential across a conducting metal rod of length l is V, how much work is done in moving a charge of +ne across the length of the rod, from low to high potential?</t>
  </si>
  <si>
    <t>+neV</t>
  </si>
  <si>
    <t>-neV</t>
  </si>
  <si>
    <t>+neVl</t>
  </si>
  <si>
    <t>-neVl</t>
  </si>
  <si>
    <t>Electromagnetic (EM) waves are caused by accelerating electric charges. The higher the acceleration of the charges, the greater the rate of emission of radiation. Most forms of electromagnetic communication are achieved by using an antenna to produce EM waves. A simple antenna is shown in Figure 1:</t>
  </si>
  <si>
    <t>By how much does the oxidation number of chromium in Cr2O72– differ from that of Cr3+?</t>
  </si>
  <si>
    <t>2.5</t>
  </si>
  <si>
    <t>Two trumpeters each attempt to produce identically pitched note. However, the frequency from one trumpet is 880 Hz, while the frequency from the other is 883 Hz. How much time passes between the beats generated by these two sound waves?</t>
  </si>
  <si>
    <t>0.33 s</t>
  </si>
  <si>
    <t>3.00 s</t>
  </si>
  <si>
    <t>A closed system is one in which:</t>
  </si>
  <si>
    <t>energy and matter are kept separate from the surroundings.</t>
  </si>
  <si>
    <t>matter is kept separate from the surroundings, but energy can be exchanged.</t>
  </si>
  <si>
    <t>energy is kept separate from the surroundings, but matter can be exchanged.</t>
  </si>
  <si>
    <t>both energy and matter can be exchanged with the surroundings.</t>
  </si>
  <si>
    <t>How much extra pressure is exerted on an object with a 4 cubic centimeter volume if it is pulled down from the surface of a fluid (ρ = 1.2 g/cm3) to a depth of 2 m?</t>
  </si>
  <si>
    <t>4.70 × 10–2 Pa</t>
  </si>
  <si>
    <t>2.35 × 101 Pa</t>
  </si>
  <si>
    <t>1.18 × 104 Pa</t>
  </si>
  <si>
    <t>2.35 × 104 Pa</t>
  </si>
  <si>
    <t>How fast does a 100-kg projectile have to leave a gun fired vertically if it is to reach a height of 20 meters?</t>
  </si>
  <si>
    <t>1.99 m/s</t>
  </si>
  <si>
    <t>9.8 m/s</t>
  </si>
  <si>
    <t>14.1 m/s</t>
  </si>
  <si>
    <t>19.9 m/s</t>
  </si>
  <si>
    <t>It can be inferred from the passage that a decrease in the prevailing winds in the Northern Hemisphere would cause which of the following?</t>
  </si>
  <si>
    <t>an increase in evaporation rates in the northern Atlantic</t>
  </si>
  <si>
    <t>a decrease in evaporation rates in the northern Atlantic</t>
  </si>
  <si>
    <t>no change in evaporation rates in the northern Atlantic</t>
  </si>
  <si>
    <t>an increase in continental runoff and precipitation</t>
  </si>
  <si>
    <t>The author discusses a hypothetical drop in the salinity of North Atlantic Deep Water (3rd paragraph) in order to:</t>
  </si>
  <si>
    <t>illustrate an interesting phenomenon.</t>
  </si>
  <si>
    <t>emphasize how minor changes in the ocean could have a major influence on climate.</t>
  </si>
  <si>
    <t>highlight the importance of continental run-off in increasing the ocean’s salinity.</t>
  </si>
  <si>
    <t>describe atmospheric conditions in the North Atlantic.</t>
  </si>
  <si>
    <t>It can be inferred from the passage that scientific analysis of which of the following would be most relevant to questions concerning the possibility of future climate change?</t>
  </si>
  <si>
    <t>the cascade of waters off the continental shelf</t>
  </si>
  <si>
    <t>precipitation totals for the North Atlantic</t>
  </si>
  <si>
    <t>the ways anatomically modern humans dealt with climate change</t>
  </si>
  <si>
    <t>how changes in the heat-salt balance of the ocean could cause a reorganization of the thermohaline circulation</t>
  </si>
  <si>
    <t>According to the passage, all of the following are factors that influence the density of North Atlantic waters EXCEPT:</t>
  </si>
  <si>
    <t>prevailing wind patterns.</t>
  </si>
  <si>
    <t>influx of warm waters from the north.</t>
  </si>
  <si>
    <t>loss of heat to the atmosphere.</t>
  </si>
  <si>
    <t>continental runoff.</t>
  </si>
  <si>
    <t>Based on the information provided in the passage, the author could be most reasonably expected to agree that:</t>
  </si>
  <si>
    <t>oceanographers should devote their research efforts solely on the creation of deep water in the Southern Ocean.</t>
  </si>
  <si>
    <t>increased tidal action could lead to less mixing of the thermocline.</t>
  </si>
  <si>
    <t>thermohaline circulation is a secondary issue in the role of climate change.</t>
  </si>
  <si>
    <t>decreased density of the North Atlantic Deep Water poses a threat to thermohaline circulation and world climate.</t>
  </si>
  <si>
    <t>The author mentions the high salinity of Atlantic waters (2nd paragraph) in order to:</t>
  </si>
  <si>
    <t>stress the importance of the atmosphere's absorption of heat.</t>
  </si>
  <si>
    <t>highlight the importance of the Atlantic's salinity in thermohaline circulation.</t>
  </si>
  <si>
    <t>call attention to deficits in the global salt budget.</t>
  </si>
  <si>
    <t>discuss the factors involved in wind patterns and their effect on evaporation rates.</t>
  </si>
  <si>
    <t>The interaction of atmospheric and oceanic currents plays a major role in determining climate. Scientists are increasingly concerned that what might appear to be a minor ecological change could cause fluctuations that would greatly change our climate. The ocean's thermohaline circulation directs the flow of the deep ocean and is intricately linked with major climate patterns. Differences in water density drive the thermohaline, or abyssal, circulation. The salinity and temperature of water affect its density. Saltier, colder water sinks in parts of the ocean and warmer, fresher water upwells in other areas. Dense, deep water moves slowly through the oceans. Oceanographers studying the disruption or cessation of the creation of oceanic deep water have found that variations in circulation patterns could have a damaging effect on climate. The creation and sinking of deep water takes place in only a few areas of the world: the Labrador Sea, the Greenland and Norwegian Seas, and parts of the Southern Ocean off the Antarctic coast.</t>
  </si>
  <si>
    <t>By comparing teachers to doctors and lawyers, the author is trying to show that:</t>
  </si>
  <si>
    <t>teachers should be on the same pay scale as doctors and lawyers.</t>
  </si>
  <si>
    <t>teachers should be held to the same high standards as other professions require.</t>
  </si>
  <si>
    <t>teachers deserve the same level of respect that doctors and lawyers have in society.</t>
  </si>
  <si>
    <t>teachers need to stay current with new research and ideas in all scientific fields.</t>
  </si>
  <si>
    <t>Suppose that national science standards were piloted in the classrooms of several teachers holding advanced degrees in their fields, and students in those classes showed great improvements in test scores relative to previous years with the same teachers. This finding would most likely strengthen the author’s assertion that:</t>
  </si>
  <si>
    <t>teachers with advanced degrees have a much easier time acquiring new knowledge and looking at old information in new ways.</t>
  </si>
  <si>
    <t>national science standards are extremely necessary and important.</t>
  </si>
  <si>
    <t>national science standards are most useful when complemented by teachers that have strong science backgrounds.</t>
  </si>
  <si>
    <t>national science standards help to build crucial foundations for teachers.</t>
  </si>
  <si>
    <t>According to the passage, obstacles to instituting effective national science standards include all of the following EXCEPT:</t>
  </si>
  <si>
    <t>science teachers are aging and fewer young teachers are entering the teaching field.</t>
  </si>
  <si>
    <t>many science teachers avoid teaching particular topics out of ignorance.</t>
  </si>
  <si>
    <t>schools lack equipment and materials that can be used in science classrooms.</t>
  </si>
  <si>
    <t>most science teachers are not required to demonstrate that they are current in their field of science knowledge.</t>
  </si>
  <si>
    <t>What does the author mean when he states that the “presence” of national standards “does not guarantee their use”?</t>
  </si>
  <si>
    <t>The presence of national standards may cause teachers to back away from teaching certain material.</t>
  </si>
  <si>
    <t>Teachers do not have to abide by national standards until they are present in every school system.</t>
  </si>
  <si>
    <t>Teachers may be limited as to how many of the required topics they can teach.</t>
  </si>
  <si>
    <t>National standards allow individual teachers to determine the extent to which they follow particular requirements and teach certain topics.</t>
  </si>
  <si>
    <t>The author of the passage would be most likely to support a law which:</t>
  </si>
  <si>
    <t>requires teachers to undergo a certain number of hours of continuing education every year.</t>
  </si>
  <si>
    <t>allows teachers to be paid comparably to doctors and lawyers.</t>
  </si>
  <si>
    <t>permits teachers to skip the teaching of portions of national standards which they are not familiar with.</t>
  </si>
  <si>
    <t>immediately institutes national standards across the nation in order to rapidly improve science education.</t>
  </si>
  <si>
    <t>In order to follow up on how well teachers are using national standards in their classrooms, a new generation of achievement tests has been proposed to measure students’ performance after standards have taken hold. The author would:</t>
  </si>
  <si>
    <t>support these new tests, since they would help to enforce strict adherence to the national standards.</t>
  </si>
  <si>
    <t>support these new tests, since they would press teachers to remain current in their fields and to improve their content knowledge.</t>
  </si>
  <si>
    <t>not support the new tests unless national standards are backed up by improvements in teacher education.</t>
  </si>
  <si>
    <t>not support the new tests unless teachers themselves were also tested with these tests.</t>
  </si>
  <si>
    <t>National science standards are beginning to be set for school curricula around the country in an effort to ensure that graduating students have been taught certain concepts and possess an established minimum of knowledge in the sciences. Curriculum guidelines are extremely important, particularly in science classrooms, yet there are many obstacles to establishing these guidelines on a federal or even local level in the United States. A major issue to contend with as national science standards are instituted is whether the nation's science teachers are qualified and competent enough to teach at a level that would meet the new requirements.</t>
  </si>
  <si>
    <t>The passage implies that the end of the Brook Farm experiment was probably brought on by:</t>
  </si>
  <si>
    <t>faltering commitment in the face of hardship</t>
  </si>
  <si>
    <t>a failure to attract members of sufficient intellect or ability.</t>
  </si>
  <si>
    <t>the completion of the community's aims.</t>
  </si>
  <si>
    <t>the incompetence of philosophers at field labor.</t>
  </si>
  <si>
    <t>According to the passage, all of the following were characteristic of the Oneida community EXCEPT:</t>
  </si>
  <si>
    <t>complex marriage</t>
  </si>
  <si>
    <t>maintenance of order through social pressure.</t>
  </si>
  <si>
    <t>belief in present grace.</t>
  </si>
  <si>
    <t>shared living quarters.</t>
  </si>
  <si>
    <t>The Shakers resembled the Oneidans in their attitude toward:</t>
  </si>
  <si>
    <t>sexual practices.</t>
  </si>
  <si>
    <t>equality of men and women.</t>
  </si>
  <si>
    <t>personal property.</t>
  </si>
  <si>
    <t>contact with the outside world.</t>
  </si>
  <si>
    <t>It can be inferred from the passage that the cohesion of a secular workers' cooperative, based on the principles of collective ownership and the sharing of profits, would probably be weakened by:</t>
  </si>
  <si>
    <t>If the passage were to continue, the next topic the author would discuss would probably be:</t>
  </si>
  <si>
    <t>a comparison between nineteenth and twentieth century communal living experiments.</t>
  </si>
  <si>
    <t>a theory explaining why communal living might become popular again.</t>
  </si>
  <si>
    <t>an analysis of why early communes attracted intellectuals and artists.</t>
  </si>
  <si>
    <t>an investigation into why the three communes discussed were successful to varying degrees.</t>
  </si>
  <si>
    <t>In the early nineteenth century a large number of communal experiments, both secular and religious, sprang up in the northeastern United States. Perhaps the most famous secular commune was Brook Farm, founded by transcendentalists George Ripley and William H. Channing to promote the pursuit of leisure and culture through the proper application of time and labor. Its members (among the more notable were Nathaniel Hawthorne and Margaret Fuller) pursued field labor by day, art and philosophy by night. For a time the system worked so well that two afternoons a week were set aside for leisure and Brook Farm began outcompeting local farmers at the produce market. But by nature the Farm's members were thinkers, not workers; despite their success they remained mainly interested in the theoretical and philosophical implications of the experiment. Thus, when a devastating fire brought the community considerable financial burdens in its fifth year, the members felt little compunction about closing shop and returning to their comfortable Boston homes.</t>
  </si>
  <si>
    <t>It can be inferred from the passage that if several works of folk art were today displayed along with several works of fine art, the former would be more likely to be:</t>
  </si>
  <si>
    <t>misunderstood by viewers.</t>
  </si>
  <si>
    <t>derived from traditional culture.</t>
  </si>
  <si>
    <t>without practical value.</t>
  </si>
  <si>
    <t>of less aesthetic value.</t>
  </si>
  <si>
    <t>Based solely on information in the passage it can be inferred that academics and collectors today consider the first cave paintings to be:</t>
  </si>
  <si>
    <t>It can be inferred from the passage that the most significant factor responsible for the reaction to the 1927 exhibition at the National Gallery (2nd paragraph) was:</t>
  </si>
  <si>
    <t>invalid assessment by the exhibit’s curators of the artistic value of the works selected for display.</t>
  </si>
  <si>
    <t>lack of a mature sense of the standards appropriate in appreciating folk art among those who attended the exhibit.</t>
  </si>
  <si>
    <t>undue influence of devotees of the fine arts on the national gallery.</t>
  </si>
  <si>
    <t>those attended the exhibit had experience with folk art executed to serve a practical purpose, but were unused to appreciating folk painting on canvas.</t>
  </si>
  <si>
    <t>Considering how the terms are used in the passage, some of today’s modern art, fifty years from now, could be classified as:</t>
  </si>
  <si>
    <t>naive art.</t>
  </si>
  <si>
    <t>primitive art.</t>
  </si>
  <si>
    <t>fine art.</t>
  </si>
  <si>
    <t>folk art.</t>
  </si>
  <si>
    <t>The author of the passage would most probably agree with which of the following statements?</t>
  </si>
  <si>
    <t>Folk art and fine art are more different than they are similar.</t>
  </si>
  <si>
    <t>Fine art is folk art grown up.</t>
  </si>
  <si>
    <t>Whether a work is folk or fine art is mostly in the eye of the beholder.</t>
  </si>
  <si>
    <t>Folk art and fine art share a common origin.</t>
  </si>
  <si>
    <t>According to the passage, which of the following is probably more typical of folk art than of fine art?</t>
  </si>
  <si>
    <t>Younger artists learn from skilled adults.</t>
  </si>
  <si>
    <t>Older practitioners encourage younger artists to test boundaries.</t>
  </si>
  <si>
    <t>Stylistic similarity is correlated to geographic proximity.</t>
  </si>
  <si>
    <t>Utilization of common materials and sophisticated techniques.</t>
  </si>
  <si>
    <t>By “economic constraints in the life of the artist,” (5th paragraph) the passage most nearly means whether artists:</t>
  </si>
  <si>
    <t>can afford objects to serve solely as a surface on which art is executed.</t>
  </si>
  <si>
    <t>are able to support themselves solely from their artwork.</t>
  </si>
  <si>
    <t>have time to devote to creating a significant number of artistic works.</t>
  </si>
  <si>
    <t>can afford to obtain professional training.</t>
  </si>
  <si>
    <t>Academics and collectors consider the distinction between "folk art" and "fine art" necessary to guide study, appreciation and display of artistic work. However, when the first cave paintings were made, language probably did not distinguish between "fine" and "folk" art. Furthermore, whether there was even a word for "art," in the broadest sense, remains unknown.</t>
  </si>
  <si>
    <t>In concluding that Wilson won the 1912 U.S. Presidential election because Taft and Roosevelt “split” a majority of the popular vote, the author assumes that:</t>
  </si>
  <si>
    <t>Which of the following concepts does the author illustrate with an example?</t>
  </si>
  <si>
    <t>A plurality system of voting can produce an outcome which is not in accord with the preference of the majority of voters.</t>
  </si>
  <si>
    <t>Varying the voting system can have an impact on which candidate is elected.</t>
  </si>
  <si>
    <t>In a race between more than two candidates a sophisticated voter may vote his second choice.</t>
  </si>
  <si>
    <t>Varying the voting system can have an impact on what candidates run for office and what viewpoints they represent.</t>
  </si>
  <si>
    <t>The passage implies that the results of the 1912 election would have been different if:</t>
  </si>
  <si>
    <t>As used in the passage, the phrase “in serious contention” (1st paragraph) most nearly means those who are:</t>
  </si>
  <si>
    <t>more likely to win the election.</t>
  </si>
  <si>
    <t>more committed to their principles.</t>
  </si>
  <si>
    <t>more articulate in conveying their positions.</t>
  </si>
  <si>
    <t>more energetic in their campaigning.</t>
  </si>
  <si>
    <t>Assume four candidates are running for class president. If the students in the class are familiar with the information in the passage and some want to use approval voting, but others want to use the plurality system, what is the most likely reason that some students would favor the plurality system?</t>
  </si>
  <si>
    <t>They are generally less receptive to change.</t>
  </si>
  <si>
    <t>They are generally more mathematically inclined.</t>
  </si>
  <si>
    <t>They each strongly prefer a candidate who is markedly different from the other three candidates.</t>
  </si>
  <si>
    <t>each tend to prefer either of two candidates who are similar to each other.</t>
  </si>
  <si>
    <t>In representative democracies, citizens vote to elect representatives, who then make decisions. Voting is intended to give citizens influence in how society is governed. However, even assuming that every citizen has an equal vote, varying the system of how citizens express their preference and how their preferences are tabulated can have great impact not only on the results of elections, but also on how many candidates tend to run for office and to what degree those in serious contention will tend to represent minority points of view.</t>
  </si>
  <si>
    <t>Regarding the New Historicists, the author asserts that:</t>
  </si>
  <si>
    <t>their work was responsible for sparking new interest in history.</t>
  </si>
  <si>
    <t>their approach clarified many problems in Renaissance Italy studies.</t>
  </si>
  <si>
    <t>by assuming that all cultures form themselves into a coherent unit, their work misinterpreted the place of marginalized groups.</t>
  </si>
  <si>
    <t>its practitioners focus more on the words they create, and less on the meaning behind these words.</t>
  </si>
  <si>
    <t>The author’s primary argument in the fourth paragraph would be most weakened by:</t>
  </si>
  <si>
    <t>proof that other pseudo-scientific disciplines frequently change their techniques.</t>
  </si>
  <si>
    <t>evidence that New Historicists do not hesitate to make moral judgements upon historical events.</t>
  </si>
  <si>
    <t>proof that new historical techniques amplify, not diminish, previous historical judgements.</t>
  </si>
  <si>
    <t>evidence that New Historicism has not been weakened at all, but remains a vibrant force in historical studies.</t>
  </si>
  <si>
    <t>According to the passage, which of the following would be of the LEAST interest to a New Historicist?</t>
  </si>
  <si>
    <t>A textual study comparing the works of the minor poet Aemilia Lanyer to the works of her contemporary, William Shakespeare</t>
  </si>
  <si>
    <t>An analysis of the power structure of a ruling town elite</t>
  </si>
  <si>
    <t>an essay contrasting the literary work to the music of the same era</t>
  </si>
  <si>
    <t>A pornographic work from the generally puritanical Victorian era</t>
  </si>
  <si>
    <t>The author probably uses the term “pseudo-scientific” in order to:</t>
  </si>
  <si>
    <t>draw a contrast between historical research and that done in true scientific disciplines such as physics.</t>
  </si>
  <si>
    <t>critique economists, anthropologists, and historians for not using stringent scientific methods.</t>
  </si>
  <si>
    <t>urge historians to reject New Historicism and other historical techniques in favor of a more scientific, objective approach.</t>
  </si>
  <si>
    <t>note that the study of history by its very nature lacks a straightforward scientific approach.</t>
  </si>
  <si>
    <t>If the author of the passage admired the work of a new scholar criticizing an earlier work comparing Dante to a previously unknown Italian poet, this admiration would be most inconsistent with the claim that:</t>
  </si>
  <si>
    <t>the backlash against the New Historicism has no claim to originality.</t>
  </si>
  <si>
    <t>the work of the New Historicists unfairly concealed the uniqueness of Dante.</t>
  </si>
  <si>
    <t>the New Historicists’ work provided new insights into understudied poets.</t>
  </si>
  <si>
    <t>the constant cycle of changing historical approaches is potentially dangerous to the field of history.</t>
  </si>
  <si>
    <t>The dominance of the "New Historicism" in academic circles over the past fifteen years has begun to arouse a backlash in these same circles. New Historicism, which was developed to study the complexities of Renaissance Italian history, swiftly impressed other historians, who used it to gain insights into other cultures. Combining anthropology with textual criticism, its practitioners developed what they termed "thick description", using anecdotes gleaned from cultural practices, and intertwining these anecdotes with general studies of the complexities of the culture. Canonical literature, such as the works of Dante, was studied alongside decidedly inferior works by contemporaries who lacked his literary genius. No text, argued the New Historicists, could be understood outside its culture; thus, a reading of all works necessitated anthropological study and literary criticism.</t>
  </si>
  <si>
    <t>The author mentions the Emergency Wetlands Resources Acts in order to:</t>
  </si>
  <si>
    <t>emphasize the important role of governmental willingness to preserve wetlands.</t>
  </si>
  <si>
    <t>prove that federal funding is sufficient for the preservation of wetlands.</t>
  </si>
  <si>
    <t>advocate passage of new legislation to protect America’s wetlands.</t>
  </si>
  <si>
    <t>show how fiscal constraints affect purchase of wetlands.</t>
  </si>
  <si>
    <t>According to the passage, all of the following contributed to the rapid loss of wetlands in the United States EXCEPT:</t>
  </si>
  <si>
    <t>technological innovations implemented by European settlers.</t>
  </si>
  <si>
    <t>development of commercial and residential real estate complexes.</t>
  </si>
  <si>
    <t>increased rezoning for the purposes of agricultural and industrial operations.</t>
  </si>
  <si>
    <t>conversion of wetlands for agricultural uses.</t>
  </si>
  <si>
    <t>In the final paragraph, the author’s primary purpose is to:</t>
  </si>
  <si>
    <t>present several potentially effective strategies for protecting wetlands and preventing additional losses of these important conservation areas.</t>
  </si>
  <si>
    <t>criticize current methods of protecting wetlands for their inefficiency and disregard of strict governmental guidelines.</t>
  </si>
  <si>
    <t>argue that collaboration between regional, local, and federal organizations is the only way to establish effective wetlands conservation methods.</t>
  </si>
  <si>
    <t>suggest that the present approach to protection of wetlands has been ineffective and advocate a different method.</t>
  </si>
  <si>
    <t>It can be inferred from the conclusion of the passage that the author assumes which of the following?</t>
  </si>
  <si>
    <t>Non-federal organizations across the country would be willing to cooperate in order to develop standards for wetlands protection and conservation.</t>
  </si>
  <si>
    <t>Federal funding programs for environmental protections will never establish a national committee with the authority to develop a comprehensive wetlands protection plan.</t>
  </si>
  <si>
    <t>Only additional guidelines that increase the already-stringent permit requirements for developers would effectively end the loss of wetlands.</t>
  </si>
  <si>
    <t>Identification of critical wetlands systems should be conducted on a case-by-case basis in order to determine which areas could be exempt from wetlands protection regulations.</t>
  </si>
  <si>
    <t>The passage suggests that which of the following could be helpful for the protection of wetlands systems in the United States?</t>
  </si>
  <si>
    <t>Which of the following best describes the author’s attitude toward government acquisition of wetlands, acquisition by private environmental groups, and protection by private developers?</t>
  </si>
  <si>
    <t>All three are limited in their potential for slowing wetland loss.</t>
  </si>
  <si>
    <t>Acquisition by government and private groups offers some protection for wetlands, while actions by private developers will speed wetland loss.</t>
  </si>
  <si>
    <t>All three strategies are promising, and more study is needed to determine which is best.</t>
  </si>
  <si>
    <t>A combination of all three strategies, in conjunction with regional management, can potentially reverse the trend toward wetland conversion.</t>
  </si>
  <si>
    <t>The United States has less than half of the 215 million acres of wetlands that existed at the time of European settlement. Wetland conversion began upon the arrival of European immigrants with their traditional antipathy to wetlands and with the will and technology to dry them out. In the mid-19th century the federal government awarded nearly 65 million acres of wetlands to 15 states in a series of Swamp Land Acts. But the most rapid conversion occurred between the mid-1950s and mid-1970s, when an estimated 450,000 acres per year were lost, primarily to agriculture.</t>
  </si>
  <si>
    <t>Based on the passage, all of the following could lead to cobalamin deficiency EXCEPT:</t>
  </si>
  <si>
    <t>use of medication that inhibits the production of gastric acid.</t>
  </si>
  <si>
    <t>blockage of pancreatic secretions.</t>
  </si>
  <si>
    <t>blockage of bile tract secretions.</t>
  </si>
  <si>
    <t>removal of a part of the GI tract from the distal jejunum to the colon.</t>
  </si>
  <si>
    <t>Which of the following patients would likely still suffer from cobalamin deficiency despite daily treatment with supplemental cobalamin-IF complex?</t>
  </si>
  <si>
    <t>A patient with pernicious anemia.</t>
  </si>
  <si>
    <t>A patient with an inherited deficiency of transcobalamin.</t>
  </si>
  <si>
    <t>A patient who does not produce R-binder.</t>
  </si>
  <si>
    <t>A patient with a resected stomach.</t>
  </si>
  <si>
    <t>A scientist performing electrical stimulation tests on a patient with advanced symptoms of cobalamin deficiency finds that, relative to a normal subject, it takes longer for stimuli of afferent sensory neurons at the wrist to cause depolarization at the shoulder of the same arm. This most likely reflects which of the following defects associated with cobalamin deficiency?</t>
  </si>
  <si>
    <t>Defective oligodendrocytes</t>
  </si>
  <si>
    <t>Defective Schwann cells</t>
  </si>
  <si>
    <t>Defective nodes of Ranvier</t>
  </si>
  <si>
    <t>Defective dendrites</t>
  </si>
  <si>
    <t>Involuntary smooth muscle groups, such as the sphincters controlling the outlets of the bladder and rectum, may be affected in more severe cases of cobalamin deficiency, indicating possible involvement of all of the following EXCEPT:</t>
  </si>
  <si>
    <t>the peripheral nervous system.</t>
  </si>
  <si>
    <t>the autonomic nervous system.</t>
  </si>
  <si>
    <t>the efferent neurons of the nervous system.</t>
  </si>
  <si>
    <t>the somatic nervous system.</t>
  </si>
  <si>
    <t>Though cobalamin is one of the water-soluble vitamins, vitamins A, D, E, and K are fat-soluble, requiring all of the following organs for processing EXCEPT:</t>
  </si>
  <si>
    <t>the liver.</t>
  </si>
  <si>
    <t>the small intestine.</t>
  </si>
  <si>
    <t>the pancreas.</t>
  </si>
  <si>
    <t>the stomach.</t>
  </si>
  <si>
    <t>Vitamin B12, also known as cobalamin, is a substance that cannot be synthesized by the human body and must be supplied in the diet. Bacteria produce cobalamin, and humans obtain cobalamin by ingesting animal products. The absorption of cobalamin from dietary sources is a multi-step process. First, cobalamin is released from food in the acidic environment of the stomach and binds R-binder, a substance that is found in human saliva and gastric juice. The alkaline pH of the duodenum allows the dissociation of the cobalamin-R-binder complex, and cobalamin is then available to bind intrinsic factor (IF). IF is produced by parietal cells in the stomach, in parallel with parietal cell secretion of HCl. The new cobalamin-IF complex, resistant to proteolytic digestion, travels safely to the ileum, where the complex is bound and taken-up by a specific receptor on the lining cells. Here, the IF is destroyed, and the cobalamin is transferred to a transport protein, transcobalamin, which carries it to the liver for storage and to certain cell types for use.</t>
  </si>
  <si>
    <t>G protein-coupled receptors are transmembrane protein molecules that participate in a number of different signaling pathways. During synthesis, G protein-coupled receptors would be primarily found in association with which of the following intracellular compartments?</t>
  </si>
  <si>
    <t>Nucleus</t>
  </si>
  <si>
    <t>Endoplasmic reticulum</t>
  </si>
  <si>
    <t>Golgi apparatus</t>
  </si>
  <si>
    <t>Lysosome</t>
  </si>
  <si>
    <t>Bradykinin is a short peptide that can cause the sensation of pain and enhance the responsiveness of nociceptive neurons to thermal or mechanical stimuli. Selective bradykinin antagonists can block the pain mediated by bradykinin by:</t>
  </si>
  <si>
    <t>enhancing the ion flow into the nociceptive neurons.</t>
  </si>
  <si>
    <t>activating an intracellular enzyme involved in the G protein-coupled cascade.</t>
  </si>
  <si>
    <t>binding to and inhibiting bradykinin receptors present on nociceptors.</t>
  </si>
  <si>
    <t>inhibiting the generation of second messengers involved in the G protein-coupled cascade.</t>
  </si>
  <si>
    <t>Adenylyl cyclase is an intracellular enzyme that becomes active when endogenous stimuli bind to G protein-coupled receptors present on nociceptors. Based on the information presented in the passage, which of the following is a likely consequence of having a mutant form of adenylyl cyclase that is continually active even in the absence of endogenous stimuli?</t>
  </si>
  <si>
    <t>Cation channels will continually remain open and sensation of pain will occur in the absence of endogenous pain stimuli.</t>
  </si>
  <si>
    <t>Cation channels will continually remain closed and sensation of pain will be diminished in the presence of endogenous pain stimuli.</t>
  </si>
  <si>
    <t>Cation channels will continually remain closed and sensation of pain will occur in the absence of endogenous pain stimuli.</t>
  </si>
  <si>
    <t>Cation channels will continually remain open and sensation of pain will be diminished in the presence of endogenous pain stimuli.</t>
  </si>
  <si>
    <t>Which of the following is likely to occur if an actively respiring muscle lowers the acidity of the environment in the vicinity of a nociceptive neuron to a pH value of 6.9?</t>
  </si>
  <si>
    <t>Protons will generate action potentials in the nociceptive neuron by binding and activating ion channels.</t>
  </si>
  <si>
    <t>Protons will generate action potentials in the nociceptive neuron by binding and activating G protein-coupled receptors.</t>
  </si>
  <si>
    <t>Protons will facilitate the generation of action potentials in the nociceptive neurons in response to the heat generated by the muscle.</t>
  </si>
  <si>
    <t>Protons will delay the generation of action potentials in the nociceptive neurons in response to noxious stimuli.</t>
  </si>
  <si>
    <t>Nociceptors present in the peripheral tissues form synapses with neurons in the dorsal horn of the spinal cord. When nociceptors are stimulated, they release excitatory neurotransmitters that activate postsynaptic neurons in the spinal cord. One class of compounds known as opiates can exert analgesic effects by blocking the stimulation of postsynaptic neurons in the spinal cord. Which of the following may be the mechanism of action of opiates?</t>
  </si>
  <si>
    <t>Opiates inhibit enzymatically-catalyzed cleavage of neurotransmitters secreted by the nociceptors.</t>
  </si>
  <si>
    <t>Opiates stimulate the release of neurotransmitters into the synaptic cleft.</t>
  </si>
  <si>
    <t>Opiates bind to G protein-coupled receptors on the postsynaptic neurons and generate an intracellular cascade that leads to inhibition of calcium channels.</t>
  </si>
  <si>
    <t>Opiates bind to G protein-coupled receptors on the postsynaptic neurons and generate an intracellular cascade that leads to activation of sodium channels.</t>
  </si>
  <si>
    <t>Transmission of pain signals by nociceptors can be inhibited by all of the following EXCEPT:</t>
  </si>
  <si>
    <t>drugs that inhibit the release of ATP following tissue injury.</t>
  </si>
  <si>
    <t>drugs that improve the circulation and delivery of oxygen to the tissues.</t>
  </si>
  <si>
    <t>drugs that block ion channel receptors.</t>
  </si>
  <si>
    <t>drugs that block G protein-coupled receptors.</t>
  </si>
  <si>
    <t>The sensation of pain is in many ways similar to the sensation of other stimuli such as light, sound and odor. It has its own specialized receptors, afferent pathways, brain centers, and control mechanisms. However, unlike other sensations, pain can be evoked by a variety of external stimuli of chemical, mechanical, thermal or electrical nature as well as by endogenous stimuli that activate specialized sensory afferent neurons.</t>
  </si>
  <si>
    <t>On genetic analysis, a human liver cell (hepatocyte) is found to be 46XX with each chromosome composed of two chromatids. Microscopic examination of the cell reveals an intact nuclear membrane and no chromatin can be seen. Which of the following statements regarding this cell is true?</t>
  </si>
  <si>
    <t>This cell is in the G2 stage of the cell cycle.</t>
  </si>
  <si>
    <t>This cell is in the M stage of the cell cycle.</t>
  </si>
  <si>
    <t>This cell is about to undergo meiosis I.</t>
  </si>
  <si>
    <t>This cell is evidence of hepatocellular carcinoma.</t>
  </si>
  <si>
    <t>A 9-year old boy injured his knee during gym class. The emergency room physician explained to his mother that the boy had fractured his femur and although the fracture would likely heal uneventfully, there was a small chance that the injured leg would be shorter than the uninjured leg once the boy had stopped growing. The boy most likely injured which part of his femur?</t>
  </si>
  <si>
    <t>The trabeculae</t>
  </si>
  <si>
    <t>The epiphyseal plate</t>
  </si>
  <si>
    <t>The epiphysis</t>
  </si>
  <si>
    <t>The diaphysis</t>
  </si>
  <si>
    <t>Disseminated intravascular coagulation (DIC) is a severe clinical disease that results in the coagulation of blood throughout the whole body; however, this action depletes the body of its platelets and coagulation factors so the net result is an increased risk of hemorrhage. When DIC is suspected, what would clinicians expect to see in laboratory testing?</t>
  </si>
  <si>
    <t>Increased platelet count.</t>
  </si>
  <si>
    <t>Decreased fibrin levels.</t>
  </si>
  <si>
    <t>Decreased fibrinogen levels.</t>
  </si>
  <si>
    <t>Increased prothrombin levels.</t>
  </si>
  <si>
    <t>In humans, hemophilia is an X-linked recessive allele. Affected males inherited the recessive allele from their mother. If a female who is a carrier for hemophilia mates with a male who is a hemophiliac, what percentage of their female children will be hemophiliacs?</t>
  </si>
  <si>
    <t>What product distribution is expected in Experiment 1?</t>
  </si>
  <si>
    <t>2-bromotoluene (most) &gt; 3-bromotoluene &gt; 4-bromotoluene (least)</t>
  </si>
  <si>
    <t>3-bromotoluene (most) &gt; 4-bromotoluene &gt; 2-bromotoluene (least)</t>
  </si>
  <si>
    <t>4-bromotoluene (most) &gt; 2-bromotoluene &gt; 3-bromotoluene (least)</t>
  </si>
  <si>
    <t>All will be formed in equal amounts</t>
  </si>
  <si>
    <t>What is the purpose of the AlBr3 in the reaction?</t>
  </si>
  <si>
    <t>To generate a carbocation through electrophilic attack on the benzene ring</t>
  </si>
  <si>
    <t>To enhance the electrophilicity of Br2 by strongly polarizing the Al-Br bond</t>
  </si>
  <si>
    <t>To enhance the electrophilicity of Br2 by strongly depolarizing the Al-Br bond</t>
  </si>
  <si>
    <t>To act as a hydride acceptor following substitution of bromide for hydride on the benzene ring</t>
  </si>
  <si>
    <t>Rank the following compounds in order of relative rate of EAS from fastest to slowest:</t>
  </si>
  <si>
    <t>IV &gt; I &gt; III &gt; IV</t>
  </si>
  <si>
    <t>II &gt; I &gt; III &gt; IV</t>
  </si>
  <si>
    <t>III &gt; IV &gt; II &gt; I</t>
  </si>
  <si>
    <t>I &gt; II &gt; IV &gt; III</t>
  </si>
  <si>
    <t>Another student repeated Experiment 2 but forgot to cover the reaction flask with foil. How might this have affected the outcome?</t>
  </si>
  <si>
    <t>Bromotoluene would have been the major product because bromobenzene is sensitive to UV light and readily decomposes.</t>
  </si>
  <si>
    <t>Bromobenzene would have been the major product because UV light catalyzes the formation of dibromotoluene from bromotoluene and Br2.</t>
  </si>
  <si>
    <t>Bromotoluene would have been the major product because UV light catalyzes the side-chain bromination of toluene through a radical mechanism.</t>
  </si>
  <si>
    <t>The product ratio would have been unaffected; however, the concentrations of both products would have decreased due to photodecomposition.</t>
  </si>
  <si>
    <t>Compared to Experiment 1, the yield of bromotoluene in Experiments 3 would be:</t>
  </si>
  <si>
    <t>greater because H2OBr+ is a stronger electrophile than Br2.</t>
  </si>
  <si>
    <t>less because H2OBr+ is a weaker electrophile than Br2.</t>
  </si>
  <si>
    <t>the same because the rate-limiting step is deprotonation of the aromatic ring.</t>
  </si>
  <si>
    <t>less because of the lower solubility of H2OBr+ in H2O compared with Br2.</t>
  </si>
  <si>
    <t>What is the representative potential energy diagram for the reaction in Experiment 1?</t>
  </si>
  <si>
    <t>Electrophilic aromatic substitution (EAS) is a reaction in which there is substitution of an electrophile for hydrogen on an aromatic ring. As shown in Figure 1, the reaction proceeds in two basic steps:</t>
  </si>
  <si>
    <t>Which of the following is true for both the nephrotic and nephritic syndromes?</t>
  </si>
  <si>
    <t>Elevated protein in the urine</t>
  </si>
  <si>
    <t>Blood in the urine</t>
  </si>
  <si>
    <t>Hypertension</t>
  </si>
  <si>
    <t>Immune mediated</t>
  </si>
  <si>
    <t>Why is swelling part of the nephrotic syndrome?</t>
  </si>
  <si>
    <t>Injury to the nephron causes water retention.</t>
  </si>
  <si>
    <t>Fluid cannot be reabsorbed at the venule end of capillaries.</t>
  </si>
  <si>
    <t>The drop in osmotic pressure results in ADH release, resulting in water reasbsorption and swelling.</t>
  </si>
  <si>
    <t>The drop in blood pressure stimulates the Starling response, which serves to increase interstitial fluid.</t>
  </si>
  <si>
    <t>How can the release of renin cause hypertension?</t>
  </si>
  <si>
    <t>It stimulates an increase in salt and water reabsorption.</t>
  </si>
  <si>
    <t>It stimulates the release of FSH, resulting in water reabsorption.</t>
  </si>
  <si>
    <t>It stimulates the release of cortisone from the adrenal glands, resulting in salt and water reabsorption.</t>
  </si>
  <si>
    <t>It activates the sympathetic nervous system, causing vasoconstriction.</t>
  </si>
  <si>
    <t>In a normal individual, all of the following are filtered through he glomerulus into Bowman's capsule EXCEPT:</t>
  </si>
  <si>
    <t>Which of the following patients have proteinuria?</t>
  </si>
  <si>
    <t>A and B</t>
  </si>
  <si>
    <t>B and D</t>
  </si>
  <si>
    <t>Diseases that attack renal function can be grouped according to two syndromes, the nephrotic and nephritic.</t>
  </si>
  <si>
    <t>What molecule is regenerated at the end of the citric acid cycle (or Krebs cycle)?</t>
  </si>
  <si>
    <t>Acetyl CoA</t>
  </si>
  <si>
    <t>Citrate</t>
  </si>
  <si>
    <t>Malate</t>
  </si>
  <si>
    <t>Oxaloacetate</t>
  </si>
  <si>
    <t>A cell that normally has 2N chromosomes has what number of chromosomes at the end of the S phase of the cell cycle?</t>
  </si>
  <si>
    <t>1N</t>
  </si>
  <si>
    <t>2N</t>
  </si>
  <si>
    <t>4N</t>
  </si>
  <si>
    <t>8N</t>
  </si>
  <si>
    <t>Which of the following processes requires the presence of uracil?</t>
  </si>
  <si>
    <t>Transcription</t>
  </si>
  <si>
    <t>Translation</t>
  </si>
  <si>
    <t>Mitosis</t>
  </si>
  <si>
    <t>Conjugation</t>
  </si>
  <si>
    <t>What cells synthesize the components of cartilage?</t>
  </si>
  <si>
    <t>Chondrocytes</t>
  </si>
  <si>
    <t>Epiphyses</t>
  </si>
  <si>
    <t>Osteoblasts</t>
  </si>
  <si>
    <t>Osteoclasts</t>
  </si>
  <si>
    <t>Which child in generation II has a 50% chance of passing along the disease allele to his/her children?</t>
  </si>
  <si>
    <t>Child 1</t>
  </si>
  <si>
    <t>Child 3</t>
  </si>
  <si>
    <t>Child 5</t>
  </si>
  <si>
    <t>All of the children in generation II have the same 50% chance of passing on the gene.</t>
  </si>
  <si>
    <t>What is the chance that individuals II-5 and II-6 will have two children in a row that carry the disease-causing allele?</t>
  </si>
  <si>
    <t>If 96% of the individuals in a population have at least one copy of the dominant, "normal" allele as part of their genotype, what percentage of the population will be carriers of the disorder referred to in the passage?</t>
  </si>
  <si>
    <t>16%</t>
  </si>
  <si>
    <t>32%</t>
  </si>
  <si>
    <t>80%</t>
  </si>
  <si>
    <t>Individuals I-1 and I-2, along with the married couple II-5 and II-6, decide to move to a deserted island and start a community. This community would likely have a higher frequency of individuals who either have the disorder or carry the allele for the disorder than most other areas of the world. This would be an example of:</t>
  </si>
  <si>
    <t>natural selection.</t>
  </si>
  <si>
    <t>a founder effect.</t>
  </si>
  <si>
    <t>a bottleneck effect.</t>
  </si>
  <si>
    <t>genetic drift.</t>
  </si>
  <si>
    <t>Which of the following observations would lead a geneticist to suspect that an inherited disorder of cell metabolism is due to a defective mitochondrial gene?</t>
  </si>
  <si>
    <t>All daughters of a male who has the trait will also have the trait.</t>
  </si>
  <si>
    <t>There is no male to male transmission of the trait.</t>
  </si>
  <si>
    <t>The trait is passed down only from mothers and not fathers.</t>
  </si>
  <si>
    <t>The trait often skips generations.</t>
  </si>
  <si>
    <t>The molecular technique of DNA probing using gel electrophoresis is a powerful tool in genetic screening for diseases. Molecular "probes" are radioactive pieces of DNA that are used to identify the presence of specific nucleotide sequences in samples of DNA. The radioactive probes will hybridize, or match up with, any complementary sequences that exist in the sample.</t>
  </si>
  <si>
    <t>The melting point and qualitative test results are not consistent with any of the compounds in Table 1. A likely explanation is that:</t>
  </si>
  <si>
    <t>the chemist did not obtain a pure compound.</t>
  </si>
  <si>
    <t>the unknown is the hydrolysis product of acetylsalicylic acid.</t>
  </si>
  <si>
    <t>the unknown is the hydrolysis product of acetaminophen.</t>
  </si>
  <si>
    <t>the unknown is a hygroscopic solid.</t>
  </si>
  <si>
    <t>Acetaminophen is the metabolite of phenacetin. The conversion of acetaminophen into phenacetin is an example of the Williamson ether synthesis using a phenol as the alcohol. The net reaction is:</t>
  </si>
  <si>
    <t>Which of the compounds in Table 1 is chiral?</t>
  </si>
  <si>
    <t>Acetylsalicylic acid</t>
  </si>
  <si>
    <t>Ibuprofen</t>
  </si>
  <si>
    <t>Acetaminophen</t>
  </si>
  <si>
    <t>Phenacetin</t>
  </si>
  <si>
    <t>Is the Hinsberg test useful for distinguishing 1°, 2° and 3º amines?</t>
  </si>
  <si>
    <t>No, because 1º, 2°, and 3º amines form insoluble benzene sulfonamides before acidification with HCl.</t>
  </si>
  <si>
    <t>No, because only 2° amines form insoluble sulfonamides after acidification with HCl.</t>
  </si>
  <si>
    <t>No, because only 2° amines form insoluble sulfonamides before acidification with HCl, while 1°, 2°, and 3º amines form insoluble benzene sulfonates after acidification with HCl.</t>
  </si>
  <si>
    <t>Yes, because 2° amines form insoluble benzene sulfonates before before acidification with HCl, 1° amines form insoluble benzene sulfonates after acidification with HCl and 3° amines do not form benzene sulfonates.</t>
  </si>
  <si>
    <t>The Ferric Chloride qualitative test for phenol is carried out in the presence of pyridine (C5H5N). The purpose of pyridine in this reaction is to:</t>
  </si>
  <si>
    <t>oxidize Fe(II) to Fe(III).</t>
  </si>
  <si>
    <t>reduce Fe(III) to Fe(II).</t>
  </si>
  <si>
    <t>neutralize the HCl which is formed.</t>
  </si>
  <si>
    <t>abstract a proton from phenol.</t>
  </si>
  <si>
    <t>The IUPAC name for acetaminophen is</t>
  </si>
  <si>
    <t>N-(4-ethoxyphenyl) acetamide.</t>
  </si>
  <si>
    <t>N-(4-hydroxyphenyl) acetamide.</t>
  </si>
  <si>
    <t>4-hydroxy benzoic acid.</t>
  </si>
  <si>
    <t>N-(4-hydroxyphenyl) propionic acid.</t>
  </si>
  <si>
    <t>A chemist is examining forensic evidence for a court case and needs to identify an analgesic (pain killer). A coffee cup containing a white, powdery substance has been submitted to her for drug analysis. She is told the drug is likely to be one of acetylsalicylic acid, ibuprofen, acetaminophen or phenacetin.</t>
  </si>
  <si>
    <t>The most reasonable conclusion that can be drawn from the experiments described in the passage is that:</t>
  </si>
  <si>
    <t>strain α can reproduce itself just as effectively as the wild type strain.</t>
  </si>
  <si>
    <t>strain β males are infertile because their sperm cannot attach to eggs.</t>
  </si>
  <si>
    <t>β-galactosyltransferase is needed for effective attachment of sperm to an egg.</t>
  </si>
  <si>
    <t>α-galactosyltransferase is unlikely to play a role in fertilization.</t>
  </si>
  <si>
    <t>If α-galactosyl residues were essential for sperm-egg attachment then one would expect:</t>
  </si>
  <si>
    <t>strain α males to be infertile.</t>
  </si>
  <si>
    <t>strain β-males to be infertile.</t>
  </si>
  <si>
    <t>strain α females to be infertile.</t>
  </si>
  <si>
    <t>strain β females to be infertile.</t>
  </si>
  <si>
    <t>Which of the following findings support Hypothesis 2?</t>
  </si>
  <si>
    <t>Sperm derived from strain β males can fertilize eggs in vitro.</t>
  </si>
  <si>
    <t>Reagents modifying substrate specificity of β -galactosyltransferase also inhibit sperm binding to zona pellucida.</t>
  </si>
  <si>
    <t>Removal of the N-acetyl-glucosaminyl residues from ZP3 does not affect sperm-egg binding.</t>
  </si>
  <si>
    <t>Placement of excess β -galactosyltransferases in the medium does not interfere with sperm-egg attachment.</t>
  </si>
  <si>
    <t>Which of the following experimental observations would provide evidence against Hypothesis 1?</t>
  </si>
  <si>
    <t>Strain α females are less fertile than wild type females.</t>
  </si>
  <si>
    <t>Strain α males are less fertile than wild type males.</t>
  </si>
  <si>
    <t>β-galactosyl residues are involved in sperm-egg recognition.</t>
  </si>
  <si>
    <t>Removal of α -galactosyl residues from ZP3 does not affect sperm-egg binding.</t>
  </si>
  <si>
    <t>A third experiment was conducted where proteins, isolated from mouse sperm membranes, were passed over a column of beads covalently attached to ZP3. Most of the proteins passed through the column, but one, a 56-kDa peptide, bound to the ZP3-coated beads. This observation will most likely:</t>
  </si>
  <si>
    <t>provide evidence for a new model of sperm-egg attachment.</t>
  </si>
  <si>
    <t>challenge the conception that ZP3 is glycoprotein involved in sperm-egg binding.</t>
  </si>
  <si>
    <t>provide evidence to support Hypothesis 1.</t>
  </si>
  <si>
    <t>provide evidence to support Hypothesis 2</t>
  </si>
  <si>
    <t>Based on the information presented in the passage, which of the following molecules will be the best candidate for a competitive inhibitor of sperm-egg interaction in mice?</t>
  </si>
  <si>
    <t>An oligosaccharide with N-acetyl-glucosaminyl residues</t>
  </si>
  <si>
    <t>An oligosaccharide with α-galactosyl residues</t>
  </si>
  <si>
    <t>An antibody to Sp56</t>
  </si>
  <si>
    <t>An antibody to β-galactosyltransferase</t>
  </si>
  <si>
    <t>In mice, an essential step in fertilization is the binding of acrosome-intact sperm to specific O-linked oligosaccharides on an egg's zona pellucida glycoprotein 3 (ZP3). O-linked oligosaccharides are sugar groups that are attached to proteins at serine and threonine residues by specific galactosyl transferases. While there is agreement on the primary role of O-linked oligosaccharides in sperm-ZP3 binding, there is a lack of consensus on the terminal monosaccharide(s) required for a functional binding site and the corresponding protein on the sperm cells surface that recognizes this ligand.</t>
  </si>
  <si>
    <t>hds020499.01</t>
  </si>
  <si>
    <t>hds020499.02</t>
  </si>
  <si>
    <t>hds020499.03</t>
  </si>
  <si>
    <t>hds020499.04</t>
  </si>
  <si>
    <t>hds020499.05</t>
  </si>
  <si>
    <t>h020500.01</t>
  </si>
  <si>
    <t>h020500.02</t>
  </si>
  <si>
    <t>h020500.03</t>
  </si>
  <si>
    <t>h020500.04</t>
  </si>
  <si>
    <t>h020500.05</t>
  </si>
  <si>
    <t>h020500.06</t>
  </si>
  <si>
    <t>h006004.01</t>
  </si>
  <si>
    <t>h006004.02</t>
  </si>
  <si>
    <t>h006004.03</t>
  </si>
  <si>
    <t>h006004.04</t>
  </si>
  <si>
    <t>h020501.01</t>
  </si>
  <si>
    <t>h020501.02</t>
  </si>
  <si>
    <t>h020501.03</t>
  </si>
  <si>
    <t>h020501.04</t>
  </si>
  <si>
    <t>h020501.05</t>
  </si>
  <si>
    <t>h020501.06</t>
  </si>
  <si>
    <t>hds020502.01</t>
  </si>
  <si>
    <t>hds020502.02</t>
  </si>
  <si>
    <t>hds020502.03</t>
  </si>
  <si>
    <t>hds020502.04</t>
  </si>
  <si>
    <t>hds020502.05</t>
  </si>
  <si>
    <t>hds004243.01</t>
  </si>
  <si>
    <t>hds004243.02</t>
  </si>
  <si>
    <t>hds004243.03</t>
  </si>
  <si>
    <t>hds004243.04</t>
  </si>
  <si>
    <t>h020504.01</t>
  </si>
  <si>
    <t>h020504.02</t>
  </si>
  <si>
    <t>h020504.03</t>
  </si>
  <si>
    <t>h020504.04</t>
  </si>
  <si>
    <t>h020504.05</t>
  </si>
  <si>
    <t>h020504.06</t>
  </si>
  <si>
    <t>h020506.01</t>
  </si>
  <si>
    <t>h020506.02</t>
  </si>
  <si>
    <t>h020506.03</t>
  </si>
  <si>
    <t>h020506.04</t>
  </si>
  <si>
    <t>h020506.05</t>
  </si>
  <si>
    <t>h020506.06</t>
  </si>
  <si>
    <t>hds020507.01</t>
  </si>
  <si>
    <t>hds020507.02</t>
  </si>
  <si>
    <t>hds020507.03</t>
  </si>
  <si>
    <t>hds020507.04</t>
  </si>
  <si>
    <t>hds020507.05</t>
  </si>
  <si>
    <t>h004272ps.01</t>
  </si>
  <si>
    <t>h004272ps.02</t>
  </si>
  <si>
    <t>h004272ps.03</t>
  </si>
  <si>
    <t>h004272ps.04</t>
  </si>
  <si>
    <t>h004272ps.05</t>
  </si>
  <si>
    <t>h020510.01</t>
  </si>
  <si>
    <t>h020510.02</t>
  </si>
  <si>
    <t>h020510.03</t>
  </si>
  <si>
    <t>h020510.04</t>
  </si>
  <si>
    <t>h020510.05</t>
  </si>
  <si>
    <t>h020510.06</t>
  </si>
  <si>
    <t>hds020511.01</t>
  </si>
  <si>
    <t>hds020511.02</t>
  </si>
  <si>
    <t>hds020511.03</t>
  </si>
  <si>
    <t>hds020511.04</t>
  </si>
  <si>
    <t>hds020511.05</t>
  </si>
  <si>
    <t>hds020511.06</t>
  </si>
  <si>
    <t>hds020265.01</t>
  </si>
  <si>
    <t>hds020265.02</t>
  </si>
  <si>
    <t>hds020265.03</t>
  </si>
  <si>
    <t>hds020265.04</t>
  </si>
  <si>
    <t>hds020265.05</t>
  </si>
  <si>
    <t>hds020512.01</t>
  </si>
  <si>
    <t>hds020512.02</t>
  </si>
  <si>
    <t>hds020512.03</t>
  </si>
  <si>
    <t>hds020512.04</t>
  </si>
  <si>
    <t>hds020512.05</t>
  </si>
  <si>
    <t>hds020512.06</t>
  </si>
  <si>
    <t>hds020512.07</t>
  </si>
  <si>
    <t>hds020513.01</t>
  </si>
  <si>
    <t>hds020513.02</t>
  </si>
  <si>
    <t>hds020513.03</t>
  </si>
  <si>
    <t>hds020513.04</t>
  </si>
  <si>
    <t>hds020513.05</t>
  </si>
  <si>
    <t>hds020514.01</t>
  </si>
  <si>
    <t>hds020514.02</t>
  </si>
  <si>
    <t>hds020514.03</t>
  </si>
  <si>
    <t>hds020514.04</t>
  </si>
  <si>
    <t>hds020514.05</t>
  </si>
  <si>
    <t>hds020517.01</t>
  </si>
  <si>
    <t>hds020517.02</t>
  </si>
  <si>
    <t>hds020517.03</t>
  </si>
  <si>
    <t>hds020517.04</t>
  </si>
  <si>
    <t>hds020517.05</t>
  </si>
  <si>
    <t>hds020517.06</t>
  </si>
  <si>
    <t>hds020519.01</t>
  </si>
  <si>
    <t>hds020519.02</t>
  </si>
  <si>
    <t>hds020519.03</t>
  </si>
  <si>
    <t>hds020519.04</t>
  </si>
  <si>
    <t>hds020519.05</t>
  </si>
  <si>
    <t>h020522.01</t>
  </si>
  <si>
    <t>h020522.02</t>
  </si>
  <si>
    <t>h020522.03</t>
  </si>
  <si>
    <t>h020522.04</t>
  </si>
  <si>
    <t>h020522.05</t>
  </si>
  <si>
    <t>h020522.06</t>
  </si>
  <si>
    <t>h006010.01</t>
  </si>
  <si>
    <t>h006010.02</t>
  </si>
  <si>
    <t>h006010.03</t>
  </si>
  <si>
    <t>h006010.04</t>
  </si>
  <si>
    <t>h020523.01</t>
  </si>
  <si>
    <t>h020523.02</t>
  </si>
  <si>
    <t>h020523.03</t>
  </si>
  <si>
    <t>h020523.04</t>
  </si>
  <si>
    <t>h020523.05</t>
  </si>
  <si>
    <t>h020523.06</t>
  </si>
  <si>
    <t>hds020373.01</t>
  </si>
  <si>
    <t>hds020373.02</t>
  </si>
  <si>
    <t>hds020373.03</t>
  </si>
  <si>
    <t>hds020373.04</t>
  </si>
  <si>
    <t>hds020373.05</t>
  </si>
  <si>
    <t>hds004379.01</t>
  </si>
  <si>
    <t>hds004379.02</t>
  </si>
  <si>
    <t>hds004379.03</t>
  </si>
  <si>
    <t>hds004379.04</t>
  </si>
  <si>
    <t>hds020460.01</t>
  </si>
  <si>
    <t>hds020460.02</t>
  </si>
  <si>
    <t>hds020460.03</t>
  </si>
  <si>
    <t>hds020460.04</t>
  </si>
  <si>
    <t>hds020460.05</t>
  </si>
  <si>
    <t>h020528.01</t>
  </si>
  <si>
    <t>h020528.02</t>
  </si>
  <si>
    <t>h020528.03</t>
  </si>
  <si>
    <t>h020528.04</t>
  </si>
  <si>
    <t>h020528.05</t>
  </si>
  <si>
    <t>h020528.06</t>
  </si>
  <si>
    <t>h020529.01</t>
  </si>
  <si>
    <t>h020529.02</t>
  </si>
  <si>
    <t>h020529.03</t>
  </si>
  <si>
    <t>h020529.04</t>
  </si>
  <si>
    <t>h020529.05</t>
  </si>
  <si>
    <t>h020529.06</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</si>
  <si>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</si>
  <si>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</si>
  <si>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</si>
  <si>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</si>
  <si>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Which of the following is an imine?</t>
  </si>
  <si>
    <t>CH3CH2NHCH3</t>
  </si>
  <si>
    <t>CH3CH2CH=NCH3</t>
  </si>
  <si>
    <t>CH3CH=CHN(CH3)2</t>
  </si>
  <si>
    <t>Rank the following in order of decreasing acidity (most acidic first).</t>
  </si>
  <si>
    <t>II &gt; I &gt; III</t>
  </si>
  <si>
    <t>Reaction of a benzoic acid (C6H5CO2H) with CH318OH is the presence of an acid catalyst yields: [18O = mass-18 isotope of oxygen]</t>
  </si>
  <si>
    <t>Which of the following strands of DNA, when paired with its complementary strand, would have the highest melting point?</t>
  </si>
  <si>
    <t>TCGATAT</t>
  </si>
  <si>
    <t>Which of the following structures is derived from the same germ layer as muscle?</t>
  </si>
  <si>
    <t>Skin</t>
  </si>
  <si>
    <t>Heart</t>
  </si>
  <si>
    <t>Spinal Cord</t>
  </si>
  <si>
    <t>h004408bs.01</t>
  </si>
  <si>
    <t>h004408bs.02</t>
  </si>
  <si>
    <t>h004408bs.03</t>
  </si>
  <si>
    <t>h004408bs.04</t>
  </si>
  <si>
    <t>h004408bs.05</t>
  </si>
  <si>
    <t>MCAT Full Length 9 - Break</t>
  </si>
  <si>
    <t>8th</t>
  </si>
  <si>
    <t>2nd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</si>
</sst>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topLeftCell="F1" workbookViewId="0">
      <selection activeCell="L1" activeCellId="1" sqref="N1:N1048576 L1:L1048576"/>
    </sheetView>
  </sheetViews>
  <sheetFormatPr defaultRowHeight="11.25" x14ac:dyDescent="0.2"/>
  <cols>
    <col min="1" max="1" width="9.140625" style="2" customWidth="1" collapsed="1"/>
    <col min="2" max="2" width="16.28515625" style="2" customWidth="1" collapsed="1"/>
    <col min="3" max="3" width="9.7109375" style="2" customWidth="1" collapsed="1"/>
    <col min="4" max="4" width="14.570312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30" style="2"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69</v>
      </c>
      <c r="C1" s="5" t="s">
        <v>16</v>
      </c>
      <c r="D1" s="5" t="s">
        <v>71</v>
      </c>
      <c r="E1" s="5" t="s">
        <v>17</v>
      </c>
      <c r="F1" s="6" t="s">
        <v>15</v>
      </c>
      <c r="G1" s="5" t="s">
        <v>70</v>
      </c>
      <c r="H1" s="5" t="s">
        <v>14</v>
      </c>
      <c r="I1" s="5" t="s">
        <v>92</v>
      </c>
      <c r="J1" s="7" t="s">
        <v>13</v>
      </c>
      <c r="K1" s="7" t="s">
        <v>66</v>
      </c>
      <c r="L1" s="7" t="s">
        <v>28</v>
      </c>
    </row>
    <row r="2" spans="1:12" x14ac:dyDescent="0.2">
      <c r="A2" s="2" t="s">
        <v>3</v>
      </c>
      <c r="B2" s="2" t="s">
        <v>147</v>
      </c>
      <c r="C2" s="2" t="s">
        <v>7</v>
      </c>
      <c r="D2" s="2" t="s">
        <v>800</v>
      </c>
      <c r="E2" s="2">
        <v>1</v>
      </c>
      <c r="F2" s="3">
        <v>1</v>
      </c>
      <c r="G2" s="2">
        <v>1</v>
      </c>
      <c r="H2" s="8">
        <v>1</v>
      </c>
      <c r="J2" s="4">
        <v>2</v>
      </c>
      <c r="K2" s="2" t="str">
        <f t="shared" ref="K2:K78" si="0">IF(H2=J2,"resp-correct","resp-inc")</f>
        <v>resp-inc</v>
      </c>
      <c r="L2" s="4" t="s">
        <v>31</v>
      </c>
    </row>
    <row r="3" spans="1:12" x14ac:dyDescent="0.2">
      <c r="A3" s="2" t="s">
        <v>3</v>
      </c>
      <c r="B3" s="2" t="s">
        <v>147</v>
      </c>
      <c r="C3" s="2" t="s">
        <v>7</v>
      </c>
      <c r="D3" s="2" t="s">
        <v>801</v>
      </c>
      <c r="E3" s="2">
        <v>1</v>
      </c>
      <c r="F3" s="3">
        <v>2</v>
      </c>
      <c r="G3" s="2">
        <v>2</v>
      </c>
      <c r="H3" s="8">
        <v>2</v>
      </c>
      <c r="J3" s="4">
        <v>1</v>
      </c>
      <c r="K3" s="2" t="str">
        <f t="shared" si="0"/>
        <v>resp-inc</v>
      </c>
      <c r="L3" s="4" t="s">
        <v>34</v>
      </c>
    </row>
    <row r="4" spans="1:12" x14ac:dyDescent="0.2">
      <c r="A4" s="2" t="s">
        <v>3</v>
      </c>
      <c r="B4" s="2" t="s">
        <v>147</v>
      </c>
      <c r="C4" s="2" t="s">
        <v>7</v>
      </c>
      <c r="D4" s="2" t="s">
        <v>802</v>
      </c>
      <c r="E4" s="2">
        <v>1</v>
      </c>
      <c r="F4" s="3">
        <v>3</v>
      </c>
      <c r="G4" s="2">
        <v>3</v>
      </c>
      <c r="H4" s="8">
        <v>1</v>
      </c>
      <c r="J4" s="4">
        <v>3</v>
      </c>
      <c r="K4" s="2" t="str">
        <f t="shared" si="0"/>
        <v>resp-inc</v>
      </c>
      <c r="L4" s="4" t="s">
        <v>31</v>
      </c>
    </row>
    <row r="5" spans="1:12" x14ac:dyDescent="0.2">
      <c r="A5" s="2" t="s">
        <v>3</v>
      </c>
      <c r="B5" s="2" t="s">
        <v>147</v>
      </c>
      <c r="C5" s="2" t="s">
        <v>7</v>
      </c>
      <c r="D5" s="2" t="s">
        <v>803</v>
      </c>
      <c r="E5" s="2">
        <v>1</v>
      </c>
      <c r="F5" s="3">
        <v>4</v>
      </c>
      <c r="G5" s="2">
        <v>4</v>
      </c>
      <c r="H5" s="8">
        <v>1</v>
      </c>
      <c r="J5" s="4">
        <v>2</v>
      </c>
      <c r="K5" s="2" t="str">
        <f t="shared" si="0"/>
        <v>resp-inc</v>
      </c>
      <c r="L5" s="4" t="s">
        <v>31</v>
      </c>
    </row>
    <row r="6" spans="1:12" x14ac:dyDescent="0.2">
      <c r="A6" s="2" t="s">
        <v>3</v>
      </c>
      <c r="B6" s="2" t="s">
        <v>147</v>
      </c>
      <c r="C6" s="2" t="s">
        <v>7</v>
      </c>
      <c r="D6" s="2" t="s">
        <v>804</v>
      </c>
      <c r="E6" s="2">
        <v>1</v>
      </c>
      <c r="F6" s="3">
        <v>5</v>
      </c>
      <c r="G6" s="2">
        <v>5</v>
      </c>
      <c r="H6" s="8">
        <v>2</v>
      </c>
      <c r="J6" s="4">
        <v>3</v>
      </c>
      <c r="K6" s="2" t="str">
        <f t="shared" si="0"/>
        <v>resp-inc</v>
      </c>
      <c r="L6" s="4" t="s">
        <v>31</v>
      </c>
    </row>
    <row r="7" spans="1:12" x14ac:dyDescent="0.2">
      <c r="A7" s="2" t="s">
        <v>3</v>
      </c>
      <c r="B7" s="2" t="s">
        <v>147</v>
      </c>
      <c r="C7" s="2" t="s">
        <v>8</v>
      </c>
      <c r="D7" s="2" t="s">
        <v>805</v>
      </c>
      <c r="E7" s="2">
        <v>2</v>
      </c>
      <c r="F7" s="3">
        <v>1</v>
      </c>
      <c r="G7" s="2">
        <v>6</v>
      </c>
      <c r="H7" s="8">
        <v>2</v>
      </c>
      <c r="J7" s="4">
        <v>4</v>
      </c>
      <c r="K7" s="2" t="str">
        <f t="shared" si="0"/>
        <v>resp-inc</v>
      </c>
      <c r="L7" s="4" t="s">
        <v>39</v>
      </c>
    </row>
    <row r="8" spans="1:12" x14ac:dyDescent="0.2">
      <c r="A8" s="2" t="s">
        <v>3</v>
      </c>
      <c r="B8" s="2" t="s">
        <v>147</v>
      </c>
      <c r="C8" s="2" t="s">
        <v>8</v>
      </c>
      <c r="D8" s="2" t="s">
        <v>806</v>
      </c>
      <c r="E8" s="2">
        <v>2</v>
      </c>
      <c r="F8" s="3">
        <v>2</v>
      </c>
      <c r="G8" s="2">
        <v>7</v>
      </c>
      <c r="H8" s="8">
        <v>2</v>
      </c>
      <c r="J8" s="4">
        <v>3</v>
      </c>
      <c r="K8" s="2" t="str">
        <f t="shared" si="0"/>
        <v>resp-inc</v>
      </c>
      <c r="L8" s="4" t="s">
        <v>39</v>
      </c>
    </row>
    <row r="9" spans="1:12" x14ac:dyDescent="0.2">
      <c r="A9" s="2" t="s">
        <v>3</v>
      </c>
      <c r="B9" s="2" t="s">
        <v>147</v>
      </c>
      <c r="C9" s="2" t="s">
        <v>8</v>
      </c>
      <c r="D9" s="2" t="s">
        <v>807</v>
      </c>
      <c r="E9" s="2">
        <v>2</v>
      </c>
      <c r="F9" s="3">
        <v>3</v>
      </c>
      <c r="G9" s="2">
        <v>8</v>
      </c>
      <c r="H9" s="8">
        <v>2</v>
      </c>
      <c r="J9" s="4">
        <v>2</v>
      </c>
      <c r="K9" s="2" t="str">
        <f t="shared" si="0"/>
        <v>resp-correct</v>
      </c>
      <c r="L9" s="2" t="s">
        <v>39</v>
      </c>
    </row>
    <row r="10" spans="1:12" x14ac:dyDescent="0.2">
      <c r="A10" s="2" t="s">
        <v>3</v>
      </c>
      <c r="B10" s="2" t="s">
        <v>147</v>
      </c>
      <c r="C10" s="2" t="s">
        <v>8</v>
      </c>
      <c r="D10" s="2" t="s">
        <v>808</v>
      </c>
      <c r="E10" s="2">
        <v>2</v>
      </c>
      <c r="F10" s="3">
        <v>4</v>
      </c>
      <c r="G10" s="2">
        <v>9</v>
      </c>
      <c r="H10" s="8">
        <v>2</v>
      </c>
      <c r="J10" s="4">
        <v>2</v>
      </c>
      <c r="K10" s="2" t="str">
        <f t="shared" si="0"/>
        <v>resp-correct</v>
      </c>
      <c r="L10" s="2" t="s">
        <v>39</v>
      </c>
    </row>
    <row r="11" spans="1:12" x14ac:dyDescent="0.2">
      <c r="A11" s="2" t="s">
        <v>3</v>
      </c>
      <c r="B11" s="2" t="s">
        <v>147</v>
      </c>
      <c r="C11" s="2" t="s">
        <v>8</v>
      </c>
      <c r="D11" s="2" t="s">
        <v>809</v>
      </c>
      <c r="E11" s="2">
        <v>2</v>
      </c>
      <c r="F11" s="3">
        <v>5</v>
      </c>
      <c r="G11" s="2">
        <v>10</v>
      </c>
      <c r="H11" s="8">
        <v>2</v>
      </c>
      <c r="J11" s="4">
        <v>1</v>
      </c>
      <c r="K11" s="2" t="str">
        <f t="shared" si="0"/>
        <v>resp-inc</v>
      </c>
      <c r="L11" s="2" t="s">
        <v>39</v>
      </c>
    </row>
    <row r="12" spans="1:12" x14ac:dyDescent="0.2">
      <c r="A12" s="2" t="s">
        <v>3</v>
      </c>
      <c r="B12" s="2" t="s">
        <v>147</v>
      </c>
      <c r="C12" s="2" t="s">
        <v>8</v>
      </c>
      <c r="D12" s="2" t="s">
        <v>810</v>
      </c>
      <c r="E12" s="2">
        <v>2</v>
      </c>
      <c r="F12" s="3">
        <v>6</v>
      </c>
      <c r="G12" s="2">
        <v>11</v>
      </c>
      <c r="H12" s="8">
        <v>3</v>
      </c>
      <c r="J12" s="4">
        <v>4</v>
      </c>
      <c r="K12" s="2" t="str">
        <f t="shared" si="0"/>
        <v>resp-inc</v>
      </c>
      <c r="L12" s="4" t="s">
        <v>39</v>
      </c>
    </row>
    <row r="13" spans="1:12" x14ac:dyDescent="0.2">
      <c r="A13" s="2" t="s">
        <v>3</v>
      </c>
      <c r="B13" s="2" t="s">
        <v>147</v>
      </c>
      <c r="C13" s="2" t="s">
        <v>6</v>
      </c>
      <c r="D13" s="2" t="s">
        <v>811</v>
      </c>
      <c r="E13" s="2">
        <v>3</v>
      </c>
      <c r="F13" s="3">
        <v>1</v>
      </c>
      <c r="G13" s="2">
        <v>12</v>
      </c>
      <c r="H13" s="8">
        <v>3</v>
      </c>
      <c r="J13" s="4">
        <v>2</v>
      </c>
      <c r="K13" s="2" t="str">
        <f t="shared" si="0"/>
        <v>resp-inc</v>
      </c>
      <c r="L13" s="4" t="s">
        <v>35</v>
      </c>
    </row>
    <row r="14" spans="1:12" x14ac:dyDescent="0.2">
      <c r="A14" s="2" t="s">
        <v>3</v>
      </c>
      <c r="B14" s="2" t="s">
        <v>147</v>
      </c>
      <c r="C14" s="2" t="s">
        <v>6</v>
      </c>
      <c r="D14" s="2" t="s">
        <v>812</v>
      </c>
      <c r="E14" s="2">
        <v>3</v>
      </c>
      <c r="F14" s="3">
        <v>2</v>
      </c>
      <c r="G14" s="2">
        <v>13</v>
      </c>
      <c r="H14" s="8">
        <v>3</v>
      </c>
      <c r="J14" s="4">
        <v>1</v>
      </c>
      <c r="K14" s="2" t="str">
        <f t="shared" si="0"/>
        <v>resp-inc</v>
      </c>
      <c r="L14" s="2" t="s">
        <v>38</v>
      </c>
    </row>
    <row r="15" spans="1:12" x14ac:dyDescent="0.2">
      <c r="A15" s="2" t="s">
        <v>3</v>
      </c>
      <c r="B15" s="2" t="s">
        <v>147</v>
      </c>
      <c r="C15" s="2" t="s">
        <v>6</v>
      </c>
      <c r="D15" s="2" t="s">
        <v>813</v>
      </c>
      <c r="E15" s="2">
        <v>3</v>
      </c>
      <c r="F15" s="3">
        <v>3</v>
      </c>
      <c r="G15" s="2">
        <v>14</v>
      </c>
      <c r="H15" s="8">
        <v>3</v>
      </c>
      <c r="J15" s="4">
        <v>2</v>
      </c>
      <c r="K15" s="2" t="str">
        <f t="shared" si="0"/>
        <v>resp-inc</v>
      </c>
      <c r="L15" s="2" t="s">
        <v>68</v>
      </c>
    </row>
    <row r="16" spans="1:12" x14ac:dyDescent="0.2">
      <c r="A16" s="2" t="s">
        <v>3</v>
      </c>
      <c r="B16" s="2" t="s">
        <v>147</v>
      </c>
      <c r="C16" s="2" t="s">
        <v>6</v>
      </c>
      <c r="D16" s="2" t="s">
        <v>814</v>
      </c>
      <c r="E16" s="2">
        <v>3</v>
      </c>
      <c r="F16" s="3">
        <v>4</v>
      </c>
      <c r="G16" s="2">
        <v>15</v>
      </c>
      <c r="H16" s="8">
        <v>3</v>
      </c>
      <c r="J16" s="4">
        <v>4</v>
      </c>
      <c r="K16" s="2" t="str">
        <f t="shared" si="0"/>
        <v>resp-inc</v>
      </c>
      <c r="L16" s="4" t="s">
        <v>31</v>
      </c>
    </row>
    <row r="17" spans="1:12" x14ac:dyDescent="0.2">
      <c r="A17" s="2" t="s">
        <v>3</v>
      </c>
      <c r="B17" s="2" t="s">
        <v>147</v>
      </c>
      <c r="C17" s="2" t="s">
        <v>9</v>
      </c>
      <c r="D17" s="2" t="s">
        <v>815</v>
      </c>
      <c r="E17" s="2">
        <v>4</v>
      </c>
      <c r="F17" s="3">
        <v>1</v>
      </c>
      <c r="G17" s="2">
        <v>16</v>
      </c>
      <c r="H17" s="8">
        <v>3</v>
      </c>
      <c r="J17" s="4">
        <v>2</v>
      </c>
      <c r="K17" s="2" t="str">
        <f t="shared" si="0"/>
        <v>resp-inc</v>
      </c>
      <c r="L17" s="2" t="s">
        <v>30</v>
      </c>
    </row>
    <row r="18" spans="1:12" x14ac:dyDescent="0.2">
      <c r="A18" s="2" t="s">
        <v>3</v>
      </c>
      <c r="B18" s="2" t="s">
        <v>147</v>
      </c>
      <c r="C18" s="2" t="s">
        <v>9</v>
      </c>
      <c r="D18" s="2" t="s">
        <v>816</v>
      </c>
      <c r="E18" s="2">
        <v>4</v>
      </c>
      <c r="F18" s="3">
        <v>2</v>
      </c>
      <c r="G18" s="2">
        <v>17</v>
      </c>
      <c r="H18" s="8">
        <v>4</v>
      </c>
      <c r="J18" s="4">
        <v>4</v>
      </c>
      <c r="K18" s="2" t="str">
        <f t="shared" si="0"/>
        <v>resp-correct</v>
      </c>
      <c r="L18" s="2" t="s">
        <v>129</v>
      </c>
    </row>
    <row r="19" spans="1:12" x14ac:dyDescent="0.2">
      <c r="A19" s="2" t="s">
        <v>3</v>
      </c>
      <c r="B19" s="2" t="s">
        <v>147</v>
      </c>
      <c r="C19" s="2" t="s">
        <v>9</v>
      </c>
      <c r="D19" s="2" t="s">
        <v>817</v>
      </c>
      <c r="E19" s="2">
        <v>4</v>
      </c>
      <c r="F19" s="3">
        <v>3</v>
      </c>
      <c r="G19" s="2">
        <v>18</v>
      </c>
      <c r="H19" s="8">
        <v>4</v>
      </c>
      <c r="J19" s="4">
        <v>2</v>
      </c>
      <c r="K19" s="2" t="str">
        <f t="shared" si="0"/>
        <v>resp-inc</v>
      </c>
      <c r="L19" s="2" t="s">
        <v>129</v>
      </c>
    </row>
    <row r="20" spans="1:12" x14ac:dyDescent="0.2">
      <c r="A20" s="2" t="s">
        <v>3</v>
      </c>
      <c r="B20" s="2" t="s">
        <v>147</v>
      </c>
      <c r="C20" s="2" t="s">
        <v>9</v>
      </c>
      <c r="D20" s="2" t="s">
        <v>818</v>
      </c>
      <c r="E20" s="2">
        <v>4</v>
      </c>
      <c r="F20" s="3">
        <v>4</v>
      </c>
      <c r="G20" s="2">
        <v>19</v>
      </c>
      <c r="H20" s="8">
        <v>4</v>
      </c>
      <c r="J20" s="4">
        <v>1</v>
      </c>
      <c r="K20" s="2" t="str">
        <f t="shared" si="0"/>
        <v>resp-inc</v>
      </c>
      <c r="L20" s="2" t="s">
        <v>129</v>
      </c>
    </row>
    <row r="21" spans="1:12" x14ac:dyDescent="0.2">
      <c r="A21" s="2" t="s">
        <v>3</v>
      </c>
      <c r="B21" s="2" t="s">
        <v>147</v>
      </c>
      <c r="C21" s="2" t="s">
        <v>9</v>
      </c>
      <c r="D21" s="2" t="s">
        <v>819</v>
      </c>
      <c r="E21" s="2">
        <v>4</v>
      </c>
      <c r="F21" s="3">
        <v>5</v>
      </c>
      <c r="G21" s="2">
        <v>20</v>
      </c>
      <c r="H21" s="8">
        <v>4</v>
      </c>
      <c r="J21" s="4">
        <v>2</v>
      </c>
      <c r="K21" s="2" t="str">
        <f t="shared" si="0"/>
        <v>resp-inc</v>
      </c>
      <c r="L21" s="2" t="s">
        <v>129</v>
      </c>
    </row>
    <row r="22" spans="1:12" x14ac:dyDescent="0.2">
      <c r="A22" s="2" t="s">
        <v>3</v>
      </c>
      <c r="B22" s="2" t="s">
        <v>147</v>
      </c>
      <c r="C22" s="2" t="s">
        <v>9</v>
      </c>
      <c r="D22" s="2" t="s">
        <v>820</v>
      </c>
      <c r="E22" s="2">
        <v>4</v>
      </c>
      <c r="F22" s="3">
        <v>6</v>
      </c>
      <c r="G22" s="2">
        <v>21</v>
      </c>
      <c r="H22" s="8">
        <v>4</v>
      </c>
      <c r="J22" s="4">
        <v>4</v>
      </c>
      <c r="K22" s="2" t="str">
        <f t="shared" si="0"/>
        <v>resp-correct</v>
      </c>
      <c r="L22" s="2" t="s">
        <v>31</v>
      </c>
    </row>
    <row r="23" spans="1:12" x14ac:dyDescent="0.2">
      <c r="A23" s="2" t="s">
        <v>3</v>
      </c>
      <c r="B23" s="2" t="s">
        <v>147</v>
      </c>
      <c r="C23" s="2" t="s">
        <v>10</v>
      </c>
      <c r="D23" s="2" t="s">
        <v>821</v>
      </c>
      <c r="E23" s="2">
        <v>5</v>
      </c>
      <c r="F23" s="3">
        <v>1</v>
      </c>
      <c r="G23" s="2">
        <v>22</v>
      </c>
      <c r="H23" s="8">
        <v>1</v>
      </c>
      <c r="J23" s="4">
        <v>1</v>
      </c>
      <c r="K23" s="2" t="str">
        <f t="shared" si="0"/>
        <v>resp-correct</v>
      </c>
      <c r="L23" s="2" t="s">
        <v>35</v>
      </c>
    </row>
    <row r="24" spans="1:12" x14ac:dyDescent="0.2">
      <c r="A24" s="2" t="s">
        <v>3</v>
      </c>
      <c r="B24" s="2" t="s">
        <v>147</v>
      </c>
      <c r="C24" s="2" t="s">
        <v>10</v>
      </c>
      <c r="D24" s="2" t="s">
        <v>822</v>
      </c>
      <c r="E24" s="2">
        <v>5</v>
      </c>
      <c r="F24" s="3">
        <v>2</v>
      </c>
      <c r="G24" s="2">
        <v>23</v>
      </c>
      <c r="H24" s="8">
        <v>1</v>
      </c>
      <c r="J24" s="4">
        <v>4</v>
      </c>
      <c r="K24" s="2" t="str">
        <f t="shared" si="0"/>
        <v>resp-inc</v>
      </c>
      <c r="L24" s="2" t="s">
        <v>128</v>
      </c>
    </row>
    <row r="25" spans="1:12" x14ac:dyDescent="0.2">
      <c r="A25" s="2" t="s">
        <v>3</v>
      </c>
      <c r="B25" s="2" t="s">
        <v>147</v>
      </c>
      <c r="C25" s="2" t="s">
        <v>10</v>
      </c>
      <c r="D25" s="2" t="s">
        <v>823</v>
      </c>
      <c r="E25" s="2">
        <v>5</v>
      </c>
      <c r="F25" s="3">
        <v>3</v>
      </c>
      <c r="G25" s="2">
        <v>24</v>
      </c>
      <c r="H25" s="8">
        <v>1</v>
      </c>
      <c r="J25" s="4">
        <v>2</v>
      </c>
      <c r="K25" s="2" t="str">
        <f t="shared" si="0"/>
        <v>resp-inc</v>
      </c>
      <c r="L25" s="2" t="s">
        <v>36</v>
      </c>
    </row>
    <row r="26" spans="1:12" x14ac:dyDescent="0.2">
      <c r="A26" s="2" t="s">
        <v>3</v>
      </c>
      <c r="B26" s="2" t="s">
        <v>147</v>
      </c>
      <c r="C26" s="2" t="s">
        <v>10</v>
      </c>
      <c r="D26" s="2" t="s">
        <v>824</v>
      </c>
      <c r="E26" s="2">
        <v>5</v>
      </c>
      <c r="F26" s="3">
        <v>4</v>
      </c>
      <c r="G26" s="2">
        <v>25</v>
      </c>
      <c r="H26" s="8">
        <v>1</v>
      </c>
      <c r="J26" s="4">
        <v>4</v>
      </c>
      <c r="K26" s="2" t="str">
        <f t="shared" si="0"/>
        <v>resp-inc</v>
      </c>
      <c r="L26" s="2" t="s">
        <v>35</v>
      </c>
    </row>
    <row r="27" spans="1:12" x14ac:dyDescent="0.2">
      <c r="A27" s="2" t="s">
        <v>3</v>
      </c>
      <c r="B27" s="2" t="s">
        <v>147</v>
      </c>
      <c r="C27" s="2" t="s">
        <v>10</v>
      </c>
      <c r="D27" s="2" t="s">
        <v>825</v>
      </c>
      <c r="E27" s="2">
        <v>5</v>
      </c>
      <c r="F27" s="3">
        <v>5</v>
      </c>
      <c r="G27" s="2">
        <v>26</v>
      </c>
      <c r="H27" s="8">
        <v>2</v>
      </c>
      <c r="J27" s="4">
        <v>2</v>
      </c>
      <c r="K27" s="2" t="str">
        <f t="shared" si="0"/>
        <v>resp-correct</v>
      </c>
      <c r="L27" s="2" t="s">
        <v>128</v>
      </c>
    </row>
    <row r="28" spans="1:12" x14ac:dyDescent="0.2">
      <c r="A28" s="2" t="s">
        <v>3</v>
      </c>
      <c r="B28" s="2" t="s">
        <v>147</v>
      </c>
      <c r="C28" s="2" t="s">
        <v>6</v>
      </c>
      <c r="D28" s="2" t="s">
        <v>826</v>
      </c>
      <c r="E28" s="2">
        <v>6</v>
      </c>
      <c r="F28" s="3">
        <v>1</v>
      </c>
      <c r="G28" s="2">
        <v>27</v>
      </c>
      <c r="H28" s="8">
        <v>2</v>
      </c>
      <c r="J28" s="4">
        <v>2</v>
      </c>
      <c r="K28" s="2" t="str">
        <f t="shared" si="0"/>
        <v>resp-correct</v>
      </c>
      <c r="L28" s="2" t="s">
        <v>41</v>
      </c>
    </row>
    <row r="29" spans="1:12" x14ac:dyDescent="0.2">
      <c r="A29" s="2" t="s">
        <v>3</v>
      </c>
      <c r="B29" s="2" t="s">
        <v>147</v>
      </c>
      <c r="C29" s="2" t="s">
        <v>6</v>
      </c>
      <c r="D29" s="2" t="s">
        <v>827</v>
      </c>
      <c r="E29" s="2">
        <v>6</v>
      </c>
      <c r="F29" s="3">
        <v>2</v>
      </c>
      <c r="G29" s="2">
        <v>28</v>
      </c>
      <c r="H29" s="8">
        <v>2</v>
      </c>
      <c r="J29" s="4">
        <v>2</v>
      </c>
      <c r="K29" s="2" t="str">
        <f t="shared" si="0"/>
        <v>resp-correct</v>
      </c>
      <c r="L29" s="2" t="s">
        <v>33</v>
      </c>
    </row>
    <row r="30" spans="1:12" x14ac:dyDescent="0.2">
      <c r="A30" s="2" t="s">
        <v>3</v>
      </c>
      <c r="B30" s="2" t="s">
        <v>147</v>
      </c>
      <c r="C30" s="2" t="s">
        <v>6</v>
      </c>
      <c r="D30" s="2" t="s">
        <v>828</v>
      </c>
      <c r="E30" s="2">
        <v>6</v>
      </c>
      <c r="F30" s="3">
        <v>3</v>
      </c>
      <c r="G30" s="2">
        <v>29</v>
      </c>
      <c r="H30" s="8">
        <v>2</v>
      </c>
      <c r="J30" s="4">
        <v>3</v>
      </c>
      <c r="K30" s="2" t="str">
        <f t="shared" si="0"/>
        <v>resp-inc</v>
      </c>
      <c r="L30" s="2" t="s">
        <v>40</v>
      </c>
    </row>
    <row r="31" spans="1:12" x14ac:dyDescent="0.2">
      <c r="A31" s="2" t="s">
        <v>3</v>
      </c>
      <c r="B31" s="2" t="s">
        <v>147</v>
      </c>
      <c r="C31" s="2" t="s">
        <v>6</v>
      </c>
      <c r="D31" s="2" t="s">
        <v>829</v>
      </c>
      <c r="E31" s="2">
        <v>6</v>
      </c>
      <c r="F31" s="3">
        <v>4</v>
      </c>
      <c r="G31" s="2">
        <v>30</v>
      </c>
      <c r="H31" s="8">
        <v>2</v>
      </c>
      <c r="J31" s="4">
        <v>2</v>
      </c>
      <c r="K31" s="2" t="str">
        <f t="shared" si="0"/>
        <v>resp-correct</v>
      </c>
      <c r="L31" s="2" t="s">
        <v>38</v>
      </c>
    </row>
    <row r="32" spans="1:12" x14ac:dyDescent="0.2">
      <c r="A32" s="2" t="s">
        <v>3</v>
      </c>
      <c r="B32" s="2" t="s">
        <v>147</v>
      </c>
      <c r="C32" s="2" t="s">
        <v>11</v>
      </c>
      <c r="D32" s="2" t="s">
        <v>830</v>
      </c>
      <c r="E32" s="2">
        <v>7</v>
      </c>
      <c r="F32" s="3">
        <v>1</v>
      </c>
      <c r="G32" s="2">
        <v>31</v>
      </c>
      <c r="H32" s="8">
        <v>1</v>
      </c>
      <c r="J32" s="4">
        <v>2</v>
      </c>
      <c r="K32" s="2" t="str">
        <f t="shared" si="0"/>
        <v>resp-inc</v>
      </c>
      <c r="L32" s="2" t="s">
        <v>40</v>
      </c>
    </row>
    <row r="33" spans="1:12" x14ac:dyDescent="0.2">
      <c r="A33" s="2" t="s">
        <v>3</v>
      </c>
      <c r="B33" s="2" t="s">
        <v>147</v>
      </c>
      <c r="C33" s="2" t="s">
        <v>11</v>
      </c>
      <c r="D33" s="2" t="s">
        <v>831</v>
      </c>
      <c r="E33" s="2">
        <v>7</v>
      </c>
      <c r="F33" s="3">
        <v>2</v>
      </c>
      <c r="G33" s="2">
        <v>32</v>
      </c>
      <c r="H33" s="8">
        <v>2</v>
      </c>
      <c r="J33" s="4">
        <v>3</v>
      </c>
      <c r="K33" s="2" t="str">
        <f t="shared" si="0"/>
        <v>resp-inc</v>
      </c>
      <c r="L33" s="2" t="s">
        <v>128</v>
      </c>
    </row>
    <row r="34" spans="1:12" x14ac:dyDescent="0.2">
      <c r="A34" s="2" t="s">
        <v>3</v>
      </c>
      <c r="B34" s="2" t="s">
        <v>147</v>
      </c>
      <c r="C34" s="2" t="s">
        <v>11</v>
      </c>
      <c r="D34" s="2" t="s">
        <v>832</v>
      </c>
      <c r="E34" s="2">
        <v>7</v>
      </c>
      <c r="F34" s="3">
        <v>3</v>
      </c>
      <c r="G34" s="2">
        <v>33</v>
      </c>
      <c r="H34" s="8">
        <v>1</v>
      </c>
      <c r="J34" s="4">
        <v>4</v>
      </c>
      <c r="K34" s="2" t="str">
        <f t="shared" si="0"/>
        <v>resp-inc</v>
      </c>
      <c r="L34" s="2" t="s">
        <v>33</v>
      </c>
    </row>
    <row r="35" spans="1:12" x14ac:dyDescent="0.2">
      <c r="A35" s="2" t="s">
        <v>3</v>
      </c>
      <c r="B35" s="2" t="s">
        <v>147</v>
      </c>
      <c r="C35" s="2" t="s">
        <v>11</v>
      </c>
      <c r="D35" s="2" t="s">
        <v>833</v>
      </c>
      <c r="E35" s="2">
        <v>7</v>
      </c>
      <c r="F35" s="3">
        <v>4</v>
      </c>
      <c r="G35" s="2">
        <v>34</v>
      </c>
      <c r="H35" s="8">
        <v>1</v>
      </c>
      <c r="J35" s="4">
        <v>1</v>
      </c>
      <c r="K35" s="2" t="str">
        <f t="shared" si="0"/>
        <v>resp-correct</v>
      </c>
      <c r="L35" s="2" t="s">
        <v>39</v>
      </c>
    </row>
    <row r="36" spans="1:12" x14ac:dyDescent="0.2">
      <c r="A36" s="2" t="s">
        <v>3</v>
      </c>
      <c r="B36" s="2" t="s">
        <v>147</v>
      </c>
      <c r="C36" s="2" t="s">
        <v>11</v>
      </c>
      <c r="D36" s="2" t="s">
        <v>834</v>
      </c>
      <c r="E36" s="2">
        <v>7</v>
      </c>
      <c r="F36" s="3">
        <v>5</v>
      </c>
      <c r="G36" s="2">
        <v>35</v>
      </c>
      <c r="H36" s="8">
        <v>2</v>
      </c>
      <c r="J36" s="4">
        <v>1</v>
      </c>
      <c r="K36" s="2" t="str">
        <f t="shared" si="0"/>
        <v>resp-inc</v>
      </c>
      <c r="L36" s="2" t="s">
        <v>40</v>
      </c>
    </row>
    <row r="37" spans="1:12" x14ac:dyDescent="0.2">
      <c r="A37" s="2" t="s">
        <v>3</v>
      </c>
      <c r="B37" s="2" t="s">
        <v>147</v>
      </c>
      <c r="C37" s="2" t="s">
        <v>11</v>
      </c>
      <c r="D37" s="2" t="s">
        <v>835</v>
      </c>
      <c r="E37" s="2">
        <v>7</v>
      </c>
      <c r="F37" s="3">
        <v>6</v>
      </c>
      <c r="G37" s="2">
        <v>36</v>
      </c>
      <c r="H37" s="8">
        <v>2</v>
      </c>
      <c r="J37" s="4">
        <v>3</v>
      </c>
      <c r="K37" s="2" t="str">
        <f t="shared" si="0"/>
        <v>resp-inc</v>
      </c>
      <c r="L37" s="2" t="s">
        <v>40</v>
      </c>
    </row>
    <row r="38" spans="1:12" x14ac:dyDescent="0.2">
      <c r="A38" s="2" t="s">
        <v>3</v>
      </c>
      <c r="B38" s="2" t="s">
        <v>147</v>
      </c>
      <c r="C38" s="2" t="s">
        <v>12</v>
      </c>
      <c r="D38" s="2" t="s">
        <v>836</v>
      </c>
      <c r="E38" s="2">
        <v>8</v>
      </c>
      <c r="F38" s="3">
        <v>1</v>
      </c>
      <c r="G38" s="2">
        <v>37</v>
      </c>
      <c r="H38" s="8">
        <v>2</v>
      </c>
      <c r="J38" s="4">
        <v>2</v>
      </c>
      <c r="K38" s="2" t="str">
        <f t="shared" si="0"/>
        <v>resp-correct</v>
      </c>
      <c r="L38" s="2" t="s">
        <v>135</v>
      </c>
    </row>
    <row r="39" spans="1:12" x14ac:dyDescent="0.2">
      <c r="A39" s="2" t="s">
        <v>3</v>
      </c>
      <c r="B39" s="2" t="s">
        <v>147</v>
      </c>
      <c r="C39" s="2" t="s">
        <v>12</v>
      </c>
      <c r="D39" s="2" t="s">
        <v>837</v>
      </c>
      <c r="E39" s="2">
        <v>8</v>
      </c>
      <c r="F39" s="3">
        <v>2</v>
      </c>
      <c r="G39" s="2">
        <v>38</v>
      </c>
      <c r="H39" s="8">
        <v>2</v>
      </c>
      <c r="J39" s="4">
        <v>3</v>
      </c>
      <c r="K39" s="2" t="str">
        <f t="shared" si="0"/>
        <v>resp-inc</v>
      </c>
      <c r="L39" s="2" t="s">
        <v>32</v>
      </c>
    </row>
    <row r="40" spans="1:12" x14ac:dyDescent="0.2">
      <c r="A40" s="2" t="s">
        <v>3</v>
      </c>
      <c r="B40" s="2" t="s">
        <v>147</v>
      </c>
      <c r="C40" s="2" t="s">
        <v>12</v>
      </c>
      <c r="D40" s="2" t="s">
        <v>838</v>
      </c>
      <c r="E40" s="2">
        <v>8</v>
      </c>
      <c r="F40" s="3">
        <v>3</v>
      </c>
      <c r="G40" s="2">
        <v>39</v>
      </c>
      <c r="H40" s="8">
        <v>2</v>
      </c>
      <c r="J40" s="4">
        <v>3</v>
      </c>
      <c r="K40" s="2" t="str">
        <f t="shared" si="0"/>
        <v>resp-inc</v>
      </c>
      <c r="L40" s="2" t="s">
        <v>29</v>
      </c>
    </row>
    <row r="41" spans="1:12" x14ac:dyDescent="0.2">
      <c r="A41" s="2" t="s">
        <v>3</v>
      </c>
      <c r="B41" s="2" t="s">
        <v>147</v>
      </c>
      <c r="C41" s="2" t="s">
        <v>12</v>
      </c>
      <c r="D41" s="2" t="s">
        <v>839</v>
      </c>
      <c r="E41" s="2">
        <v>8</v>
      </c>
      <c r="F41" s="3">
        <v>4</v>
      </c>
      <c r="G41" s="2">
        <v>40</v>
      </c>
      <c r="H41" s="8">
        <v>2</v>
      </c>
      <c r="J41" s="4">
        <v>1</v>
      </c>
      <c r="K41" s="2" t="str">
        <f t="shared" si="0"/>
        <v>resp-inc</v>
      </c>
      <c r="L41" s="2" t="s">
        <v>144</v>
      </c>
    </row>
    <row r="42" spans="1:12" x14ac:dyDescent="0.2">
      <c r="A42" s="2" t="s">
        <v>3</v>
      </c>
      <c r="B42" s="2" t="s">
        <v>147</v>
      </c>
      <c r="C42" s="2" t="s">
        <v>12</v>
      </c>
      <c r="D42" s="2" t="s">
        <v>840</v>
      </c>
      <c r="E42" s="2">
        <v>8</v>
      </c>
      <c r="F42" s="3">
        <v>5</v>
      </c>
      <c r="G42" s="2">
        <v>41</v>
      </c>
      <c r="H42" s="8">
        <v>2</v>
      </c>
      <c r="J42" s="4">
        <v>2</v>
      </c>
      <c r="K42" s="2" t="str">
        <f t="shared" si="0"/>
        <v>resp-correct</v>
      </c>
      <c r="L42" s="2" t="s">
        <v>135</v>
      </c>
    </row>
    <row r="43" spans="1:12" x14ac:dyDescent="0.2">
      <c r="A43" s="2" t="s">
        <v>3</v>
      </c>
      <c r="B43" s="2" t="s">
        <v>147</v>
      </c>
      <c r="C43" s="2" t="s">
        <v>12</v>
      </c>
      <c r="D43" s="2" t="s">
        <v>841</v>
      </c>
      <c r="E43" s="2">
        <v>8</v>
      </c>
      <c r="F43" s="3">
        <v>6</v>
      </c>
      <c r="G43" s="2">
        <v>42</v>
      </c>
      <c r="H43" s="8">
        <v>2</v>
      </c>
      <c r="J43" s="4">
        <v>3</v>
      </c>
      <c r="K43" s="2" t="str">
        <f t="shared" si="0"/>
        <v>resp-inc</v>
      </c>
      <c r="L43" s="2" t="s">
        <v>40</v>
      </c>
    </row>
    <row r="44" spans="1:12" x14ac:dyDescent="0.2">
      <c r="A44" s="2" t="s">
        <v>3</v>
      </c>
      <c r="B44" s="2" t="s">
        <v>147</v>
      </c>
      <c r="C44" s="2" t="s">
        <v>95</v>
      </c>
      <c r="D44" s="2" t="s">
        <v>842</v>
      </c>
      <c r="E44" s="2">
        <v>9</v>
      </c>
      <c r="F44" s="3">
        <v>1</v>
      </c>
      <c r="G44" s="2">
        <v>43</v>
      </c>
      <c r="H44" s="8">
        <v>2</v>
      </c>
      <c r="J44" s="4">
        <v>2</v>
      </c>
      <c r="K44" s="2" t="str">
        <f t="shared" si="0"/>
        <v>resp-correct</v>
      </c>
      <c r="L44" s="2" t="s">
        <v>38</v>
      </c>
    </row>
    <row r="45" spans="1:12" x14ac:dyDescent="0.2">
      <c r="A45" s="2" t="s">
        <v>3</v>
      </c>
      <c r="B45" s="2" t="s">
        <v>147</v>
      </c>
      <c r="C45" s="2" t="s">
        <v>95</v>
      </c>
      <c r="D45" s="2" t="s">
        <v>843</v>
      </c>
      <c r="E45" s="2">
        <v>9</v>
      </c>
      <c r="F45" s="3">
        <v>2</v>
      </c>
      <c r="G45" s="2">
        <v>44</v>
      </c>
      <c r="H45" s="8">
        <v>2</v>
      </c>
      <c r="J45" s="4">
        <v>2</v>
      </c>
      <c r="K45" s="2" t="str">
        <f t="shared" si="0"/>
        <v>resp-correct</v>
      </c>
      <c r="L45" s="2" t="s">
        <v>37</v>
      </c>
    </row>
    <row r="46" spans="1:12" x14ac:dyDescent="0.2">
      <c r="A46" s="2" t="s">
        <v>3</v>
      </c>
      <c r="B46" s="2" t="s">
        <v>147</v>
      </c>
      <c r="C46" s="2" t="s">
        <v>95</v>
      </c>
      <c r="D46" s="2" t="s">
        <v>844</v>
      </c>
      <c r="E46" s="2">
        <v>9</v>
      </c>
      <c r="F46" s="3">
        <v>3</v>
      </c>
      <c r="G46" s="2">
        <v>45</v>
      </c>
      <c r="H46" s="8">
        <v>2</v>
      </c>
      <c r="J46" s="4">
        <v>1</v>
      </c>
      <c r="K46" s="2" t="str">
        <f t="shared" si="0"/>
        <v>resp-inc</v>
      </c>
      <c r="L46" s="2" t="s">
        <v>68</v>
      </c>
    </row>
    <row r="47" spans="1:12" x14ac:dyDescent="0.2">
      <c r="A47" s="2" t="s">
        <v>3</v>
      </c>
      <c r="B47" s="2" t="s">
        <v>147</v>
      </c>
      <c r="C47" s="2" t="s">
        <v>95</v>
      </c>
      <c r="D47" s="2" t="s">
        <v>845</v>
      </c>
      <c r="E47" s="2">
        <v>9</v>
      </c>
      <c r="F47" s="3">
        <v>4</v>
      </c>
      <c r="G47" s="2">
        <v>46</v>
      </c>
      <c r="H47" s="8">
        <v>2</v>
      </c>
      <c r="J47" s="4">
        <v>4</v>
      </c>
      <c r="K47" s="2" t="str">
        <f t="shared" si="0"/>
        <v>resp-inc</v>
      </c>
      <c r="L47" s="2" t="s">
        <v>68</v>
      </c>
    </row>
    <row r="48" spans="1:12" x14ac:dyDescent="0.2">
      <c r="A48" s="2" t="s">
        <v>3</v>
      </c>
      <c r="B48" s="2" t="s">
        <v>147</v>
      </c>
      <c r="C48" s="2" t="s">
        <v>95</v>
      </c>
      <c r="D48" s="2" t="s">
        <v>846</v>
      </c>
      <c r="E48" s="2">
        <v>9</v>
      </c>
      <c r="F48" s="3">
        <v>5</v>
      </c>
      <c r="G48" s="2">
        <v>47</v>
      </c>
      <c r="H48" s="8">
        <v>2</v>
      </c>
      <c r="J48" s="4">
        <v>1</v>
      </c>
      <c r="K48" s="2" t="str">
        <f t="shared" si="0"/>
        <v>resp-inc</v>
      </c>
      <c r="L48" s="2" t="s">
        <v>37</v>
      </c>
    </row>
    <row r="49" spans="1:12" x14ac:dyDescent="0.2">
      <c r="A49" s="2" t="s">
        <v>3</v>
      </c>
      <c r="B49" s="2" t="s">
        <v>147</v>
      </c>
      <c r="C49" s="2" t="s">
        <v>6</v>
      </c>
      <c r="D49" s="2" t="s">
        <v>847</v>
      </c>
      <c r="E49" s="2">
        <v>10</v>
      </c>
      <c r="F49" s="3">
        <v>1</v>
      </c>
      <c r="G49" s="2">
        <v>48</v>
      </c>
      <c r="H49" s="8">
        <v>2</v>
      </c>
      <c r="J49" s="4">
        <v>3</v>
      </c>
      <c r="K49" s="2" t="str">
        <f t="shared" si="0"/>
        <v>resp-inc</v>
      </c>
      <c r="L49" s="2" t="s">
        <v>128</v>
      </c>
    </row>
    <row r="50" spans="1:12" x14ac:dyDescent="0.2">
      <c r="A50" s="2" t="s">
        <v>3</v>
      </c>
      <c r="B50" s="2" t="s">
        <v>147</v>
      </c>
      <c r="C50" s="2" t="s">
        <v>6</v>
      </c>
      <c r="D50" s="2" t="s">
        <v>848</v>
      </c>
      <c r="E50" s="2">
        <v>10</v>
      </c>
      <c r="F50" s="3">
        <v>2</v>
      </c>
      <c r="G50" s="2">
        <v>49</v>
      </c>
      <c r="H50" s="8">
        <v>2</v>
      </c>
      <c r="J50" s="4">
        <v>1</v>
      </c>
      <c r="K50" s="2" t="str">
        <f t="shared" si="0"/>
        <v>resp-inc</v>
      </c>
      <c r="L50" s="2" t="s">
        <v>129</v>
      </c>
    </row>
    <row r="51" spans="1:12" x14ac:dyDescent="0.2">
      <c r="A51" s="2" t="s">
        <v>3</v>
      </c>
      <c r="B51" s="2" t="s">
        <v>147</v>
      </c>
      <c r="C51" s="2" t="s">
        <v>6</v>
      </c>
      <c r="D51" s="2" t="s">
        <v>849</v>
      </c>
      <c r="E51" s="2">
        <v>10</v>
      </c>
      <c r="F51" s="3">
        <v>3</v>
      </c>
      <c r="G51" s="2">
        <v>50</v>
      </c>
      <c r="H51" s="8">
        <v>2</v>
      </c>
      <c r="J51" s="4">
        <v>2</v>
      </c>
      <c r="K51" s="2" t="str">
        <f t="shared" si="0"/>
        <v>resp-correct</v>
      </c>
      <c r="L51" s="2" t="s">
        <v>40</v>
      </c>
    </row>
    <row r="52" spans="1:12" x14ac:dyDescent="0.2">
      <c r="A52" s="2" t="s">
        <v>3</v>
      </c>
      <c r="B52" s="2" t="s">
        <v>147</v>
      </c>
      <c r="C52" s="2" t="s">
        <v>6</v>
      </c>
      <c r="D52" s="2" t="s">
        <v>850</v>
      </c>
      <c r="E52" s="2">
        <v>10</v>
      </c>
      <c r="F52" s="3">
        <v>4</v>
      </c>
      <c r="G52" s="2">
        <v>51</v>
      </c>
      <c r="H52" s="8">
        <v>2</v>
      </c>
      <c r="J52" s="4">
        <v>4</v>
      </c>
      <c r="K52" s="2" t="str">
        <f t="shared" si="0"/>
        <v>resp-inc</v>
      </c>
      <c r="L52" s="2" t="s">
        <v>34</v>
      </c>
    </row>
    <row r="53" spans="1:12" x14ac:dyDescent="0.2">
      <c r="A53" s="2" t="s">
        <v>3</v>
      </c>
      <c r="B53" s="2" t="s">
        <v>147</v>
      </c>
      <c r="C53" s="2" t="s">
        <v>6</v>
      </c>
      <c r="D53" s="2" t="s">
        <v>851</v>
      </c>
      <c r="E53" s="2">
        <v>10</v>
      </c>
      <c r="F53" s="3">
        <v>5</v>
      </c>
      <c r="G53" s="2">
        <v>52</v>
      </c>
      <c r="H53" s="8">
        <v>2</v>
      </c>
      <c r="J53" s="4">
        <v>4</v>
      </c>
      <c r="K53" s="2" t="str">
        <f t="shared" si="0"/>
        <v>resp-inc</v>
      </c>
      <c r="L53" s="2" t="s">
        <v>31</v>
      </c>
    </row>
    <row r="54" spans="1:12" x14ac:dyDescent="0.2">
      <c r="A54" s="2" t="s">
        <v>4</v>
      </c>
      <c r="B54" s="2" t="s">
        <v>148</v>
      </c>
      <c r="C54" s="2" t="s">
        <v>7</v>
      </c>
      <c r="D54" s="2" t="s">
        <v>852</v>
      </c>
      <c r="E54" s="2">
        <v>1</v>
      </c>
      <c r="F54" s="3">
        <v>1</v>
      </c>
      <c r="G54" s="2">
        <v>1</v>
      </c>
      <c r="H54" s="8">
        <v>2</v>
      </c>
      <c r="J54" s="4">
        <v>2</v>
      </c>
      <c r="K54" s="2" t="str">
        <f t="shared" si="0"/>
        <v>resp-correct</v>
      </c>
      <c r="L54" s="2" t="s">
        <v>47</v>
      </c>
    </row>
    <row r="55" spans="1:12" x14ac:dyDescent="0.2">
      <c r="A55" s="2" t="s">
        <v>4</v>
      </c>
      <c r="B55" s="2" t="s">
        <v>148</v>
      </c>
      <c r="C55" s="2" t="s">
        <v>7</v>
      </c>
      <c r="D55" s="2" t="s">
        <v>853</v>
      </c>
      <c r="E55" s="2">
        <v>1</v>
      </c>
      <c r="F55" s="3">
        <v>2</v>
      </c>
      <c r="G55" s="2">
        <v>2</v>
      </c>
      <c r="H55" s="8">
        <v>3</v>
      </c>
      <c r="J55" s="4">
        <v>2</v>
      </c>
      <c r="K55" s="2" t="str">
        <f t="shared" si="0"/>
        <v>resp-inc</v>
      </c>
      <c r="L55" s="2" t="s">
        <v>43</v>
      </c>
    </row>
    <row r="56" spans="1:12" x14ac:dyDescent="0.2">
      <c r="A56" s="2" t="s">
        <v>4</v>
      </c>
      <c r="B56" s="2" t="s">
        <v>148</v>
      </c>
      <c r="C56" s="2" t="s">
        <v>7</v>
      </c>
      <c r="D56" s="2" t="s">
        <v>854</v>
      </c>
      <c r="E56" s="2">
        <v>1</v>
      </c>
      <c r="F56" s="3">
        <v>3</v>
      </c>
      <c r="G56" s="2">
        <v>3</v>
      </c>
      <c r="H56" s="8">
        <v>3</v>
      </c>
      <c r="J56" s="4">
        <v>4</v>
      </c>
      <c r="K56" s="2" t="str">
        <f t="shared" si="0"/>
        <v>resp-inc</v>
      </c>
      <c r="L56" s="2" t="s">
        <v>47</v>
      </c>
    </row>
    <row r="57" spans="1:12" x14ac:dyDescent="0.2">
      <c r="A57" s="2" t="s">
        <v>4</v>
      </c>
      <c r="B57" s="2" t="s">
        <v>148</v>
      </c>
      <c r="C57" s="2" t="s">
        <v>7</v>
      </c>
      <c r="D57" s="2" t="s">
        <v>855</v>
      </c>
      <c r="E57" s="2">
        <v>1</v>
      </c>
      <c r="F57" s="3">
        <v>4</v>
      </c>
      <c r="G57" s="2">
        <v>4</v>
      </c>
      <c r="H57" s="8">
        <v>3</v>
      </c>
      <c r="J57" s="4">
        <v>2</v>
      </c>
      <c r="K57" s="2" t="str">
        <f t="shared" si="0"/>
        <v>resp-inc</v>
      </c>
      <c r="L57" s="2" t="s">
        <v>42</v>
      </c>
    </row>
    <row r="58" spans="1:12" x14ac:dyDescent="0.2">
      <c r="A58" s="2" t="s">
        <v>4</v>
      </c>
      <c r="B58" s="2" t="s">
        <v>148</v>
      </c>
      <c r="C58" s="2" t="s">
        <v>7</v>
      </c>
      <c r="D58" s="2" t="s">
        <v>856</v>
      </c>
      <c r="E58" s="2">
        <v>1</v>
      </c>
      <c r="F58" s="3">
        <v>5</v>
      </c>
      <c r="G58" s="2">
        <v>5</v>
      </c>
      <c r="H58" s="8">
        <v>3</v>
      </c>
      <c r="J58" s="4">
        <v>4</v>
      </c>
      <c r="K58" s="2" t="str">
        <f t="shared" si="0"/>
        <v>resp-inc</v>
      </c>
      <c r="L58" s="2" t="s">
        <v>47</v>
      </c>
    </row>
    <row r="59" spans="1:12" x14ac:dyDescent="0.2">
      <c r="A59" s="2" t="s">
        <v>4</v>
      </c>
      <c r="B59" s="2" t="s">
        <v>148</v>
      </c>
      <c r="C59" s="2" t="s">
        <v>7</v>
      </c>
      <c r="D59" s="2" t="s">
        <v>857</v>
      </c>
      <c r="E59" s="2">
        <v>1</v>
      </c>
      <c r="F59" s="3">
        <v>6</v>
      </c>
      <c r="G59" s="2">
        <v>6</v>
      </c>
      <c r="H59" s="8">
        <v>3</v>
      </c>
      <c r="J59" s="4">
        <v>2</v>
      </c>
      <c r="K59" s="2" t="str">
        <f t="shared" si="0"/>
        <v>resp-inc</v>
      </c>
      <c r="L59" s="2" t="s">
        <v>43</v>
      </c>
    </row>
    <row r="60" spans="1:12" x14ac:dyDescent="0.2">
      <c r="A60" s="2" t="s">
        <v>4</v>
      </c>
      <c r="B60" s="2" t="s">
        <v>148</v>
      </c>
      <c r="C60" s="2" t="s">
        <v>8</v>
      </c>
      <c r="D60" s="2" t="s">
        <v>858</v>
      </c>
      <c r="E60" s="2">
        <v>2</v>
      </c>
      <c r="F60" s="3">
        <v>1</v>
      </c>
      <c r="G60" s="2">
        <v>7</v>
      </c>
      <c r="H60" s="8">
        <v>3</v>
      </c>
      <c r="J60" s="4">
        <v>2</v>
      </c>
      <c r="K60" s="2" t="str">
        <f t="shared" si="0"/>
        <v>resp-inc</v>
      </c>
      <c r="L60" s="2" t="s">
        <v>47</v>
      </c>
    </row>
    <row r="61" spans="1:12" x14ac:dyDescent="0.2">
      <c r="A61" s="2" t="s">
        <v>4</v>
      </c>
      <c r="B61" s="2" t="s">
        <v>148</v>
      </c>
      <c r="C61" s="2" t="s">
        <v>8</v>
      </c>
      <c r="D61" s="2" t="s">
        <v>859</v>
      </c>
      <c r="E61" s="2">
        <v>2</v>
      </c>
      <c r="F61" s="3">
        <v>2</v>
      </c>
      <c r="G61" s="2">
        <v>8</v>
      </c>
      <c r="H61" s="8">
        <v>4</v>
      </c>
      <c r="J61" s="4">
        <v>3</v>
      </c>
      <c r="K61" s="2" t="str">
        <f t="shared" si="0"/>
        <v>resp-inc</v>
      </c>
      <c r="L61" s="2" t="s">
        <v>46</v>
      </c>
    </row>
    <row r="62" spans="1:12" x14ac:dyDescent="0.2">
      <c r="A62" s="2" t="s">
        <v>4</v>
      </c>
      <c r="B62" s="2" t="s">
        <v>148</v>
      </c>
      <c r="C62" s="2" t="s">
        <v>8</v>
      </c>
      <c r="D62" s="2" t="s">
        <v>860</v>
      </c>
      <c r="E62" s="2">
        <v>2</v>
      </c>
      <c r="F62" s="3">
        <v>3</v>
      </c>
      <c r="G62" s="2">
        <v>9</v>
      </c>
      <c r="H62" s="8">
        <v>4</v>
      </c>
      <c r="J62" s="4">
        <v>1</v>
      </c>
      <c r="K62" s="2" t="str">
        <f t="shared" si="0"/>
        <v>resp-inc</v>
      </c>
      <c r="L62" s="2" t="s">
        <v>42</v>
      </c>
    </row>
    <row r="63" spans="1:12" x14ac:dyDescent="0.2">
      <c r="A63" s="2" t="s">
        <v>4</v>
      </c>
      <c r="B63" s="2" t="s">
        <v>148</v>
      </c>
      <c r="C63" s="2" t="s">
        <v>8</v>
      </c>
      <c r="D63" s="2" t="s">
        <v>861</v>
      </c>
      <c r="E63" s="2">
        <v>2</v>
      </c>
      <c r="F63" s="3">
        <v>4</v>
      </c>
      <c r="G63" s="2">
        <v>10</v>
      </c>
      <c r="H63" s="8">
        <v>4</v>
      </c>
      <c r="J63" s="4">
        <v>3</v>
      </c>
      <c r="K63" s="2" t="str">
        <f t="shared" si="0"/>
        <v>resp-inc</v>
      </c>
      <c r="L63" s="2" t="s">
        <v>43</v>
      </c>
    </row>
    <row r="64" spans="1:12" x14ac:dyDescent="0.2">
      <c r="A64" s="2" t="s">
        <v>4</v>
      </c>
      <c r="B64" s="2" t="s">
        <v>148</v>
      </c>
      <c r="C64" s="2" t="s">
        <v>8</v>
      </c>
      <c r="D64" s="2" t="s">
        <v>862</v>
      </c>
      <c r="E64" s="2">
        <v>2</v>
      </c>
      <c r="F64" s="3">
        <v>5</v>
      </c>
      <c r="G64" s="2">
        <v>11</v>
      </c>
      <c r="H64" s="8">
        <v>4</v>
      </c>
      <c r="J64" s="4">
        <v>1</v>
      </c>
      <c r="K64" s="2" t="str">
        <f t="shared" si="0"/>
        <v>resp-inc</v>
      </c>
      <c r="L64" s="4" t="s">
        <v>45</v>
      </c>
    </row>
    <row r="65" spans="1:12" x14ac:dyDescent="0.2">
      <c r="A65" s="2" t="s">
        <v>4</v>
      </c>
      <c r="B65" s="2" t="s">
        <v>148</v>
      </c>
      <c r="C65" s="2" t="s">
        <v>8</v>
      </c>
      <c r="D65" s="2" t="s">
        <v>863</v>
      </c>
      <c r="E65" s="2">
        <v>2</v>
      </c>
      <c r="F65" s="3">
        <v>6</v>
      </c>
      <c r="G65" s="2">
        <v>12</v>
      </c>
      <c r="H65" s="8">
        <v>4</v>
      </c>
      <c r="J65" s="4">
        <v>3</v>
      </c>
      <c r="K65" s="2" t="str">
        <f t="shared" si="0"/>
        <v>resp-inc</v>
      </c>
      <c r="L65" s="2" t="s">
        <v>43</v>
      </c>
    </row>
    <row r="66" spans="1:12" x14ac:dyDescent="0.2">
      <c r="A66" s="2" t="s">
        <v>4</v>
      </c>
      <c r="B66" s="2" t="s">
        <v>148</v>
      </c>
      <c r="C66" s="2" t="s">
        <v>9</v>
      </c>
      <c r="D66" s="2" t="s">
        <v>864</v>
      </c>
      <c r="E66" s="2">
        <v>3</v>
      </c>
      <c r="F66" s="3">
        <v>1</v>
      </c>
      <c r="G66" s="2">
        <v>13</v>
      </c>
      <c r="H66" s="8">
        <v>1</v>
      </c>
      <c r="J66" s="4">
        <v>1</v>
      </c>
      <c r="K66" s="2" t="str">
        <f t="shared" si="0"/>
        <v>resp-correct</v>
      </c>
      <c r="L66" s="2" t="s">
        <v>47</v>
      </c>
    </row>
    <row r="67" spans="1:12" x14ac:dyDescent="0.2">
      <c r="A67" s="2" t="s">
        <v>4</v>
      </c>
      <c r="B67" s="2" t="s">
        <v>148</v>
      </c>
      <c r="C67" s="2" t="s">
        <v>9</v>
      </c>
      <c r="D67" s="2" t="s">
        <v>865</v>
      </c>
      <c r="E67" s="2">
        <v>3</v>
      </c>
      <c r="F67" s="3">
        <v>2</v>
      </c>
      <c r="G67" s="2">
        <v>14</v>
      </c>
      <c r="H67" s="8">
        <v>1</v>
      </c>
      <c r="J67" s="4">
        <v>4</v>
      </c>
      <c r="K67" s="2" t="str">
        <f t="shared" si="0"/>
        <v>resp-inc</v>
      </c>
      <c r="L67" s="2" t="s">
        <v>42</v>
      </c>
    </row>
    <row r="68" spans="1:12" x14ac:dyDescent="0.2">
      <c r="A68" s="2" t="s">
        <v>4</v>
      </c>
      <c r="B68" s="2" t="s">
        <v>148</v>
      </c>
      <c r="C68" s="2" t="s">
        <v>9</v>
      </c>
      <c r="D68" s="2" t="s">
        <v>866</v>
      </c>
      <c r="E68" s="2">
        <v>3</v>
      </c>
      <c r="F68" s="3">
        <v>3</v>
      </c>
      <c r="G68" s="2">
        <v>15</v>
      </c>
      <c r="H68" s="8">
        <v>1</v>
      </c>
      <c r="J68" s="4">
        <v>3</v>
      </c>
      <c r="K68" s="2" t="str">
        <f t="shared" si="0"/>
        <v>resp-inc</v>
      </c>
      <c r="L68" s="2" t="s">
        <v>47</v>
      </c>
    </row>
    <row r="69" spans="1:12" x14ac:dyDescent="0.2">
      <c r="A69" s="2" t="s">
        <v>4</v>
      </c>
      <c r="B69" s="2" t="s">
        <v>148</v>
      </c>
      <c r="C69" s="17" t="s">
        <v>9</v>
      </c>
      <c r="D69" s="2" t="s">
        <v>867</v>
      </c>
      <c r="E69" s="2">
        <v>3</v>
      </c>
      <c r="F69" s="3">
        <v>4</v>
      </c>
      <c r="G69" s="2">
        <v>16</v>
      </c>
      <c r="H69" s="8">
        <v>1</v>
      </c>
      <c r="J69" s="4">
        <v>3</v>
      </c>
      <c r="K69" s="2" t="str">
        <f t="shared" si="0"/>
        <v>resp-inc</v>
      </c>
      <c r="L69" s="2" t="s">
        <v>47</v>
      </c>
    </row>
    <row r="70" spans="1:12" x14ac:dyDescent="0.2">
      <c r="A70" s="2" t="s">
        <v>4</v>
      </c>
      <c r="B70" s="2" t="s">
        <v>148</v>
      </c>
      <c r="C70" s="17" t="s">
        <v>9</v>
      </c>
      <c r="D70" s="2" t="s">
        <v>868</v>
      </c>
      <c r="E70" s="2">
        <v>3</v>
      </c>
      <c r="F70" s="3">
        <v>5</v>
      </c>
      <c r="G70" s="2">
        <v>17</v>
      </c>
      <c r="H70" s="8">
        <v>2</v>
      </c>
      <c r="J70" s="4">
        <v>4</v>
      </c>
      <c r="K70" s="2" t="str">
        <f t="shared" si="0"/>
        <v>resp-inc</v>
      </c>
      <c r="L70" s="2" t="s">
        <v>45</v>
      </c>
    </row>
    <row r="71" spans="1:12" x14ac:dyDescent="0.2">
      <c r="A71" s="2" t="s">
        <v>4</v>
      </c>
      <c r="B71" s="2" t="s">
        <v>148</v>
      </c>
      <c r="C71" s="17" t="s">
        <v>10</v>
      </c>
      <c r="D71" s="2" t="s">
        <v>869</v>
      </c>
      <c r="E71" s="2">
        <v>4</v>
      </c>
      <c r="F71" s="3">
        <v>1</v>
      </c>
      <c r="G71" s="2">
        <v>18</v>
      </c>
      <c r="H71" s="8">
        <v>2</v>
      </c>
      <c r="J71" s="4">
        <v>2</v>
      </c>
      <c r="K71" s="2" t="str">
        <f t="shared" si="0"/>
        <v>resp-correct</v>
      </c>
      <c r="L71" s="2" t="s">
        <v>47</v>
      </c>
    </row>
    <row r="72" spans="1:12" x14ac:dyDescent="0.2">
      <c r="A72" s="2" t="s">
        <v>4</v>
      </c>
      <c r="B72" s="2" t="s">
        <v>148</v>
      </c>
      <c r="C72" s="17" t="s">
        <v>10</v>
      </c>
      <c r="D72" s="2" t="s">
        <v>870</v>
      </c>
      <c r="E72" s="2">
        <v>4</v>
      </c>
      <c r="F72" s="3">
        <v>2</v>
      </c>
      <c r="G72" s="2">
        <v>19</v>
      </c>
      <c r="H72" s="8">
        <v>2</v>
      </c>
      <c r="J72" s="4">
        <v>2</v>
      </c>
      <c r="K72" s="2" t="str">
        <f t="shared" si="0"/>
        <v>resp-correct</v>
      </c>
      <c r="L72" s="4" t="s">
        <v>47</v>
      </c>
    </row>
    <row r="73" spans="1:12" x14ac:dyDescent="0.2">
      <c r="A73" s="2" t="s">
        <v>4</v>
      </c>
      <c r="B73" s="2" t="s">
        <v>148</v>
      </c>
      <c r="C73" s="17" t="s">
        <v>10</v>
      </c>
      <c r="D73" s="2" t="s">
        <v>871</v>
      </c>
      <c r="E73" s="2">
        <v>4</v>
      </c>
      <c r="F73" s="3">
        <v>3</v>
      </c>
      <c r="G73" s="2">
        <v>20</v>
      </c>
      <c r="H73" s="8">
        <v>2</v>
      </c>
      <c r="J73" s="4">
        <v>2</v>
      </c>
      <c r="K73" s="2" t="str">
        <f t="shared" si="0"/>
        <v>resp-correct</v>
      </c>
      <c r="L73" s="2" t="s">
        <v>47</v>
      </c>
    </row>
    <row r="74" spans="1:12" x14ac:dyDescent="0.2">
      <c r="A74" s="2" t="s">
        <v>4</v>
      </c>
      <c r="B74" s="2" t="s">
        <v>148</v>
      </c>
      <c r="C74" s="17" t="s">
        <v>10</v>
      </c>
      <c r="D74" s="2" t="s">
        <v>872</v>
      </c>
      <c r="E74" s="2">
        <v>4</v>
      </c>
      <c r="F74" s="3">
        <v>4</v>
      </c>
      <c r="G74" s="2">
        <v>21</v>
      </c>
      <c r="H74" s="8">
        <v>2</v>
      </c>
      <c r="J74" s="4">
        <v>3</v>
      </c>
      <c r="K74" s="2" t="str">
        <f t="shared" si="0"/>
        <v>resp-inc</v>
      </c>
      <c r="L74" s="2" t="s">
        <v>45</v>
      </c>
    </row>
    <row r="75" spans="1:12" x14ac:dyDescent="0.2">
      <c r="A75" s="2" t="s">
        <v>4</v>
      </c>
      <c r="B75" s="2" t="s">
        <v>148</v>
      </c>
      <c r="C75" s="2" t="s">
        <v>10</v>
      </c>
      <c r="D75" s="2" t="s">
        <v>873</v>
      </c>
      <c r="E75" s="2">
        <v>4</v>
      </c>
      <c r="F75" s="3">
        <v>5</v>
      </c>
      <c r="G75" s="2">
        <v>22</v>
      </c>
      <c r="H75" s="8">
        <v>1</v>
      </c>
      <c r="J75" s="4">
        <v>4</v>
      </c>
      <c r="K75" s="2" t="str">
        <f t="shared" si="0"/>
        <v>resp-inc</v>
      </c>
      <c r="L75" s="4" t="s">
        <v>47</v>
      </c>
    </row>
    <row r="76" spans="1:12" x14ac:dyDescent="0.2">
      <c r="A76" s="2" t="s">
        <v>4</v>
      </c>
      <c r="B76" s="2" t="s">
        <v>148</v>
      </c>
      <c r="C76" s="2" t="s">
        <v>10</v>
      </c>
      <c r="D76" s="2" t="s">
        <v>874</v>
      </c>
      <c r="E76" s="2">
        <v>4</v>
      </c>
      <c r="F76" s="3">
        <v>6</v>
      </c>
      <c r="G76" s="2">
        <v>23</v>
      </c>
      <c r="H76" s="8">
        <v>2</v>
      </c>
      <c r="J76" s="4">
        <v>3</v>
      </c>
      <c r="K76" s="2" t="str">
        <f t="shared" si="0"/>
        <v>resp-inc</v>
      </c>
      <c r="L76" s="2" t="s">
        <v>47</v>
      </c>
    </row>
    <row r="77" spans="1:12" x14ac:dyDescent="0.2">
      <c r="A77" s="2" t="s">
        <v>4</v>
      </c>
      <c r="B77" s="2" t="s">
        <v>148</v>
      </c>
      <c r="C77" s="2" t="s">
        <v>10</v>
      </c>
      <c r="D77" s="2" t="s">
        <v>875</v>
      </c>
      <c r="E77" s="2">
        <v>4</v>
      </c>
      <c r="F77" s="3">
        <v>7</v>
      </c>
      <c r="G77" s="2">
        <v>24</v>
      </c>
      <c r="H77" s="8">
        <v>1</v>
      </c>
      <c r="J77" s="4">
        <v>1</v>
      </c>
      <c r="K77" s="2" t="str">
        <f t="shared" si="0"/>
        <v>resp-correct</v>
      </c>
      <c r="L77" s="4" t="s">
        <v>43</v>
      </c>
    </row>
    <row r="78" spans="1:12" x14ac:dyDescent="0.2">
      <c r="A78" s="2" t="s">
        <v>4</v>
      </c>
      <c r="B78" s="2" t="s">
        <v>148</v>
      </c>
      <c r="C78" s="2" t="s">
        <v>11</v>
      </c>
      <c r="D78" s="2" t="s">
        <v>876</v>
      </c>
      <c r="E78" s="2">
        <v>5</v>
      </c>
      <c r="F78" s="3">
        <v>1</v>
      </c>
      <c r="G78" s="2">
        <v>25</v>
      </c>
      <c r="H78" s="8">
        <v>1</v>
      </c>
      <c r="J78" s="4">
        <v>1</v>
      </c>
      <c r="K78" s="2" t="str">
        <f t="shared" si="0"/>
        <v>resp-correct</v>
      </c>
      <c r="L78" s="2" t="s">
        <v>47</v>
      </c>
    </row>
    <row r="79" spans="1:12" x14ac:dyDescent="0.2">
      <c r="A79" s="2" t="s">
        <v>4</v>
      </c>
      <c r="B79" s="2" t="s">
        <v>148</v>
      </c>
      <c r="C79" s="2" t="s">
        <v>11</v>
      </c>
      <c r="D79" s="2" t="s">
        <v>877</v>
      </c>
      <c r="E79" s="2">
        <v>5</v>
      </c>
      <c r="F79" s="3">
        <v>2</v>
      </c>
      <c r="G79" s="2">
        <v>26</v>
      </c>
      <c r="H79" s="8">
        <v>2</v>
      </c>
      <c r="J79" s="4">
        <v>1</v>
      </c>
      <c r="K79" s="2" t="str">
        <f t="shared" ref="K79:K142" si="1">IF(H79=J79,"resp-correct","resp-inc")</f>
        <v>resp-inc</v>
      </c>
      <c r="L79" s="2" t="s">
        <v>42</v>
      </c>
    </row>
    <row r="80" spans="1:12" x14ac:dyDescent="0.2">
      <c r="A80" s="2" t="s">
        <v>4</v>
      </c>
      <c r="B80" s="2" t="s">
        <v>148</v>
      </c>
      <c r="C80" s="2" t="s">
        <v>11</v>
      </c>
      <c r="D80" s="2" t="s">
        <v>878</v>
      </c>
      <c r="E80" s="2">
        <v>5</v>
      </c>
      <c r="F80" s="3">
        <v>3</v>
      </c>
      <c r="G80" s="2">
        <v>27</v>
      </c>
      <c r="H80" s="8">
        <v>2</v>
      </c>
      <c r="J80" s="4">
        <v>3</v>
      </c>
      <c r="K80" s="2" t="str">
        <f t="shared" si="1"/>
        <v>resp-inc</v>
      </c>
      <c r="L80" s="2" t="s">
        <v>47</v>
      </c>
    </row>
    <row r="81" spans="1:12" x14ac:dyDescent="0.2">
      <c r="A81" s="2" t="s">
        <v>4</v>
      </c>
      <c r="B81" s="2" t="s">
        <v>148</v>
      </c>
      <c r="C81" s="2" t="s">
        <v>11</v>
      </c>
      <c r="D81" s="2" t="s">
        <v>879</v>
      </c>
      <c r="E81" s="2">
        <v>5</v>
      </c>
      <c r="F81" s="3">
        <v>4</v>
      </c>
      <c r="G81" s="2">
        <v>28</v>
      </c>
      <c r="H81" s="8">
        <v>2</v>
      </c>
      <c r="J81" s="4">
        <v>1</v>
      </c>
      <c r="K81" s="2" t="str">
        <f t="shared" si="1"/>
        <v>resp-inc</v>
      </c>
      <c r="L81" s="2" t="s">
        <v>43</v>
      </c>
    </row>
    <row r="82" spans="1:12" x14ac:dyDescent="0.2">
      <c r="A82" s="2" t="s">
        <v>4</v>
      </c>
      <c r="B82" s="2" t="s">
        <v>148</v>
      </c>
      <c r="C82" s="2" t="s">
        <v>11</v>
      </c>
      <c r="D82" s="2" t="s">
        <v>880</v>
      </c>
      <c r="E82" s="2">
        <v>5</v>
      </c>
      <c r="F82" s="3">
        <v>5</v>
      </c>
      <c r="G82" s="2">
        <v>29</v>
      </c>
      <c r="H82" s="8">
        <v>2</v>
      </c>
      <c r="J82" s="4">
        <v>3</v>
      </c>
      <c r="K82" s="2" t="str">
        <f t="shared" si="1"/>
        <v>resp-inc</v>
      </c>
      <c r="L82" s="4" t="s">
        <v>45</v>
      </c>
    </row>
    <row r="83" spans="1:12" x14ac:dyDescent="0.2">
      <c r="A83" s="2" t="s">
        <v>4</v>
      </c>
      <c r="B83" s="2" t="s">
        <v>148</v>
      </c>
      <c r="C83" s="2" t="s">
        <v>12</v>
      </c>
      <c r="D83" s="2" t="s">
        <v>881</v>
      </c>
      <c r="E83" s="2">
        <v>6</v>
      </c>
      <c r="F83" s="3">
        <v>1</v>
      </c>
      <c r="G83" s="2">
        <v>30</v>
      </c>
      <c r="H83" s="8">
        <v>2</v>
      </c>
      <c r="J83" s="4">
        <v>1</v>
      </c>
      <c r="K83" s="2" t="str">
        <f t="shared" si="1"/>
        <v>resp-inc</v>
      </c>
      <c r="L83" s="2" t="s">
        <v>42</v>
      </c>
    </row>
    <row r="84" spans="1:12" x14ac:dyDescent="0.2">
      <c r="A84" s="2" t="s">
        <v>4</v>
      </c>
      <c r="B84" s="2" t="s">
        <v>148</v>
      </c>
      <c r="C84" s="2" t="s">
        <v>12</v>
      </c>
      <c r="D84" s="2" t="s">
        <v>882</v>
      </c>
      <c r="E84" s="2">
        <v>6</v>
      </c>
      <c r="F84" s="3">
        <v>2</v>
      </c>
      <c r="G84" s="2">
        <v>31</v>
      </c>
      <c r="H84" s="8">
        <v>2</v>
      </c>
      <c r="J84" s="4">
        <v>3</v>
      </c>
      <c r="K84" s="2" t="str">
        <f t="shared" si="1"/>
        <v>resp-inc</v>
      </c>
      <c r="L84" s="2" t="s">
        <v>46</v>
      </c>
    </row>
    <row r="85" spans="1:12" x14ac:dyDescent="0.2">
      <c r="A85" s="2" t="s">
        <v>4</v>
      </c>
      <c r="B85" s="2" t="s">
        <v>148</v>
      </c>
      <c r="C85" s="2" t="s">
        <v>12</v>
      </c>
      <c r="D85" s="2" t="s">
        <v>883</v>
      </c>
      <c r="E85" s="2">
        <v>6</v>
      </c>
      <c r="F85" s="3">
        <v>3</v>
      </c>
      <c r="G85" s="2">
        <v>32</v>
      </c>
      <c r="H85" s="8">
        <v>3</v>
      </c>
      <c r="J85" s="4">
        <v>2</v>
      </c>
      <c r="K85" s="2" t="str">
        <f t="shared" si="1"/>
        <v>resp-inc</v>
      </c>
      <c r="L85" s="4" t="s">
        <v>45</v>
      </c>
    </row>
    <row r="86" spans="1:12" x14ac:dyDescent="0.2">
      <c r="A86" s="2" t="s">
        <v>4</v>
      </c>
      <c r="B86" s="2" t="s">
        <v>148</v>
      </c>
      <c r="C86" s="2" t="s">
        <v>12</v>
      </c>
      <c r="D86" s="2" t="s">
        <v>884</v>
      </c>
      <c r="E86" s="2">
        <v>6</v>
      </c>
      <c r="F86" s="3">
        <v>4</v>
      </c>
      <c r="G86" s="2">
        <v>33</v>
      </c>
      <c r="H86" s="8">
        <v>2</v>
      </c>
      <c r="J86" s="4">
        <v>4</v>
      </c>
      <c r="K86" s="2" t="str">
        <f t="shared" si="1"/>
        <v>resp-inc</v>
      </c>
      <c r="L86" s="2" t="s">
        <v>43</v>
      </c>
    </row>
    <row r="87" spans="1:12" x14ac:dyDescent="0.2">
      <c r="A87" s="2" t="s">
        <v>4</v>
      </c>
      <c r="B87" s="2" t="s">
        <v>148</v>
      </c>
      <c r="C87" s="2" t="s">
        <v>12</v>
      </c>
      <c r="D87" s="2" t="s">
        <v>885</v>
      </c>
      <c r="E87" s="2">
        <v>6</v>
      </c>
      <c r="F87" s="3">
        <v>5</v>
      </c>
      <c r="G87" s="2">
        <v>34</v>
      </c>
      <c r="H87" s="8">
        <v>2</v>
      </c>
      <c r="J87" s="4">
        <v>4</v>
      </c>
      <c r="K87" s="2" t="str">
        <f t="shared" si="1"/>
        <v>resp-inc</v>
      </c>
      <c r="L87" s="2" t="s">
        <v>46</v>
      </c>
    </row>
    <row r="88" spans="1:12" x14ac:dyDescent="0.2">
      <c r="A88" s="2" t="s">
        <v>4</v>
      </c>
      <c r="B88" s="2" t="s">
        <v>148</v>
      </c>
      <c r="C88" s="2" t="s">
        <v>95</v>
      </c>
      <c r="D88" s="2" t="s">
        <v>886</v>
      </c>
      <c r="E88" s="2">
        <v>7</v>
      </c>
      <c r="F88" s="3">
        <v>1</v>
      </c>
      <c r="G88" s="2">
        <v>35</v>
      </c>
      <c r="H88" s="8">
        <v>3</v>
      </c>
      <c r="J88" s="4">
        <v>4</v>
      </c>
      <c r="K88" s="2" t="str">
        <f t="shared" si="1"/>
        <v>resp-inc</v>
      </c>
      <c r="L88" s="4" t="s">
        <v>43</v>
      </c>
    </row>
    <row r="89" spans="1:12" x14ac:dyDescent="0.2">
      <c r="A89" s="2" t="s">
        <v>4</v>
      </c>
      <c r="B89" s="2" t="s">
        <v>148</v>
      </c>
      <c r="C89" s="2" t="s">
        <v>95</v>
      </c>
      <c r="D89" s="2" t="s">
        <v>887</v>
      </c>
      <c r="E89" s="2">
        <v>7</v>
      </c>
      <c r="F89" s="3">
        <v>2</v>
      </c>
      <c r="G89" s="2">
        <v>36</v>
      </c>
      <c r="H89" s="8">
        <v>2</v>
      </c>
      <c r="J89" s="4">
        <v>3</v>
      </c>
      <c r="K89" s="2" t="str">
        <f t="shared" si="1"/>
        <v>resp-inc</v>
      </c>
      <c r="L89" s="2" t="s">
        <v>42</v>
      </c>
    </row>
    <row r="90" spans="1:12" x14ac:dyDescent="0.2">
      <c r="A90" s="2" t="s">
        <v>4</v>
      </c>
      <c r="B90" s="2" t="s">
        <v>148</v>
      </c>
      <c r="C90" s="2" t="s">
        <v>95</v>
      </c>
      <c r="D90" s="2" t="s">
        <v>888</v>
      </c>
      <c r="E90" s="2">
        <v>7</v>
      </c>
      <c r="F90" s="3">
        <v>3</v>
      </c>
      <c r="G90" s="2">
        <v>37</v>
      </c>
      <c r="H90" s="8">
        <v>3</v>
      </c>
      <c r="J90" s="4">
        <v>4</v>
      </c>
      <c r="K90" s="2" t="str">
        <f t="shared" si="1"/>
        <v>resp-inc</v>
      </c>
      <c r="L90" s="4" t="s">
        <v>44</v>
      </c>
    </row>
    <row r="91" spans="1:12" x14ac:dyDescent="0.2">
      <c r="A91" s="2" t="s">
        <v>4</v>
      </c>
      <c r="B91" s="2" t="s">
        <v>148</v>
      </c>
      <c r="C91" s="2" t="s">
        <v>95</v>
      </c>
      <c r="D91" s="2" t="s">
        <v>889</v>
      </c>
      <c r="E91" s="2">
        <v>7</v>
      </c>
      <c r="F91" s="3">
        <v>4</v>
      </c>
      <c r="G91" s="2">
        <v>38</v>
      </c>
      <c r="H91" s="8">
        <v>2</v>
      </c>
      <c r="J91" s="4">
        <v>1</v>
      </c>
      <c r="K91" s="2" t="str">
        <f t="shared" si="1"/>
        <v>resp-inc</v>
      </c>
      <c r="L91" s="2" t="s">
        <v>47</v>
      </c>
    </row>
    <row r="92" spans="1:12" x14ac:dyDescent="0.2">
      <c r="A92" s="2" t="s">
        <v>4</v>
      </c>
      <c r="B92" s="2" t="s">
        <v>148</v>
      </c>
      <c r="C92" s="2" t="s">
        <v>95</v>
      </c>
      <c r="D92" s="2" t="s">
        <v>890</v>
      </c>
      <c r="E92" s="2">
        <v>7</v>
      </c>
      <c r="F92" s="3">
        <v>5</v>
      </c>
      <c r="G92" s="2">
        <v>39</v>
      </c>
      <c r="H92" s="8">
        <v>2</v>
      </c>
      <c r="J92" s="4">
        <v>3</v>
      </c>
      <c r="K92" s="2" t="str">
        <f t="shared" si="1"/>
        <v>resp-inc</v>
      </c>
      <c r="L92" s="2" t="s">
        <v>47</v>
      </c>
    </row>
    <row r="93" spans="1:12" x14ac:dyDescent="0.2">
      <c r="A93" s="2" t="s">
        <v>4</v>
      </c>
      <c r="B93" s="2" t="s">
        <v>148</v>
      </c>
      <c r="C93" s="2" t="s">
        <v>95</v>
      </c>
      <c r="D93" s="2" t="s">
        <v>891</v>
      </c>
      <c r="E93" s="2">
        <v>7</v>
      </c>
      <c r="F93" s="3">
        <v>6</v>
      </c>
      <c r="G93" s="2">
        <v>40</v>
      </c>
      <c r="H93" s="8">
        <v>3</v>
      </c>
      <c r="J93" s="4">
        <v>1</v>
      </c>
      <c r="K93" s="2" t="str">
        <f t="shared" si="1"/>
        <v>resp-inc</v>
      </c>
      <c r="L93" s="4" t="s">
        <v>47</v>
      </c>
    </row>
    <row r="94" spans="1:12" x14ac:dyDescent="0.2">
      <c r="A94" s="2" t="s">
        <v>5</v>
      </c>
      <c r="B94" s="2" t="s">
        <v>149</v>
      </c>
      <c r="C94" s="2" t="s">
        <v>7</v>
      </c>
      <c r="D94" s="2" t="s">
        <v>892</v>
      </c>
      <c r="E94" s="2">
        <v>1</v>
      </c>
      <c r="F94" s="3">
        <v>1</v>
      </c>
      <c r="G94" s="2">
        <v>1</v>
      </c>
      <c r="H94" s="8">
        <v>3</v>
      </c>
      <c r="J94" s="4">
        <v>3</v>
      </c>
      <c r="K94" s="2" t="str">
        <f t="shared" si="1"/>
        <v>resp-correct</v>
      </c>
      <c r="L94" s="2" t="s">
        <v>131</v>
      </c>
    </row>
    <row r="95" spans="1:12" x14ac:dyDescent="0.2">
      <c r="A95" s="2" t="s">
        <v>5</v>
      </c>
      <c r="B95" s="2" t="s">
        <v>149</v>
      </c>
      <c r="C95" s="2" t="s">
        <v>7</v>
      </c>
      <c r="D95" s="2" t="s">
        <v>893</v>
      </c>
      <c r="E95" s="2">
        <v>1</v>
      </c>
      <c r="F95" s="3">
        <v>2</v>
      </c>
      <c r="G95" s="2">
        <v>2</v>
      </c>
      <c r="H95" s="8">
        <v>3</v>
      </c>
      <c r="J95" s="4">
        <v>2</v>
      </c>
      <c r="K95" s="2" t="str">
        <f t="shared" si="1"/>
        <v>resp-inc</v>
      </c>
      <c r="L95" s="2" t="s">
        <v>60</v>
      </c>
    </row>
    <row r="96" spans="1:12" x14ac:dyDescent="0.2">
      <c r="A96" s="2" t="s">
        <v>5</v>
      </c>
      <c r="B96" s="2" t="s">
        <v>149</v>
      </c>
      <c r="C96" s="2" t="s">
        <v>7</v>
      </c>
      <c r="D96" s="2" t="s">
        <v>894</v>
      </c>
      <c r="E96" s="2">
        <v>1</v>
      </c>
      <c r="F96" s="3">
        <v>3</v>
      </c>
      <c r="G96" s="2">
        <v>3</v>
      </c>
      <c r="H96" s="8">
        <v>3</v>
      </c>
      <c r="J96" s="4">
        <v>2</v>
      </c>
      <c r="K96" s="2" t="str">
        <f t="shared" si="1"/>
        <v>resp-inc</v>
      </c>
      <c r="L96" s="2" t="s">
        <v>134</v>
      </c>
    </row>
    <row r="97" spans="1:12" x14ac:dyDescent="0.2">
      <c r="A97" s="2" t="s">
        <v>5</v>
      </c>
      <c r="B97" s="2" t="s">
        <v>149</v>
      </c>
      <c r="C97" s="2" t="s">
        <v>7</v>
      </c>
      <c r="D97" s="2" t="s">
        <v>895</v>
      </c>
      <c r="E97" s="2">
        <v>1</v>
      </c>
      <c r="F97" s="3">
        <v>4</v>
      </c>
      <c r="G97" s="2">
        <v>4</v>
      </c>
      <c r="H97" s="8">
        <v>3</v>
      </c>
      <c r="J97" s="4">
        <v>4</v>
      </c>
      <c r="K97" s="2" t="str">
        <f t="shared" si="1"/>
        <v>resp-inc</v>
      </c>
      <c r="L97" s="2" t="s">
        <v>134</v>
      </c>
    </row>
    <row r="98" spans="1:12" x14ac:dyDescent="0.2">
      <c r="A98" s="2" t="s">
        <v>5</v>
      </c>
      <c r="B98" s="2" t="s">
        <v>149</v>
      </c>
      <c r="C98" s="2" t="s">
        <v>7</v>
      </c>
      <c r="D98" s="2" t="s">
        <v>896</v>
      </c>
      <c r="E98" s="2">
        <v>1</v>
      </c>
      <c r="F98" s="3">
        <v>5</v>
      </c>
      <c r="G98" s="2">
        <v>5</v>
      </c>
      <c r="H98" s="8">
        <v>3</v>
      </c>
      <c r="J98" s="4">
        <v>4</v>
      </c>
      <c r="K98" s="2" t="str">
        <f t="shared" si="1"/>
        <v>resp-inc</v>
      </c>
      <c r="L98" s="2" t="s">
        <v>131</v>
      </c>
    </row>
    <row r="99" spans="1:12" x14ac:dyDescent="0.2">
      <c r="A99" s="2" t="s">
        <v>5</v>
      </c>
      <c r="B99" s="2" t="s">
        <v>149</v>
      </c>
      <c r="C99" s="2" t="s">
        <v>8</v>
      </c>
      <c r="D99" s="2" t="s">
        <v>897</v>
      </c>
      <c r="E99" s="2">
        <v>2</v>
      </c>
      <c r="F99" s="3">
        <v>1</v>
      </c>
      <c r="G99" s="2">
        <v>6</v>
      </c>
      <c r="H99" s="8">
        <v>4</v>
      </c>
      <c r="J99" s="4">
        <v>2</v>
      </c>
      <c r="K99" s="2" t="str">
        <f t="shared" si="1"/>
        <v>resp-inc</v>
      </c>
      <c r="L99" s="2" t="s">
        <v>53</v>
      </c>
    </row>
    <row r="100" spans="1:12" x14ac:dyDescent="0.2">
      <c r="A100" s="2" t="s">
        <v>5</v>
      </c>
      <c r="B100" s="2" t="s">
        <v>149</v>
      </c>
      <c r="C100" s="2" t="s">
        <v>8</v>
      </c>
      <c r="D100" s="2" t="s">
        <v>898</v>
      </c>
      <c r="E100" s="2">
        <v>2</v>
      </c>
      <c r="F100" s="3">
        <v>2</v>
      </c>
      <c r="G100" s="2">
        <v>7</v>
      </c>
      <c r="H100" s="8">
        <v>4</v>
      </c>
      <c r="J100" s="4">
        <v>3</v>
      </c>
      <c r="K100" s="2" t="str">
        <f t="shared" si="1"/>
        <v>resp-inc</v>
      </c>
      <c r="L100" s="2" t="s">
        <v>52</v>
      </c>
    </row>
    <row r="101" spans="1:12" x14ac:dyDescent="0.2">
      <c r="A101" s="2" t="s">
        <v>5</v>
      </c>
      <c r="B101" s="2" t="s">
        <v>149</v>
      </c>
      <c r="C101" s="2" t="s">
        <v>8</v>
      </c>
      <c r="D101" s="2" t="s">
        <v>899</v>
      </c>
      <c r="E101" s="2">
        <v>2</v>
      </c>
      <c r="F101" s="3">
        <v>3</v>
      </c>
      <c r="G101" s="2">
        <v>8</v>
      </c>
      <c r="H101" s="8">
        <v>4</v>
      </c>
      <c r="J101" s="4">
        <v>2</v>
      </c>
      <c r="K101" s="2" t="str">
        <f t="shared" si="1"/>
        <v>resp-inc</v>
      </c>
      <c r="L101" s="2" t="s">
        <v>52</v>
      </c>
    </row>
    <row r="102" spans="1:12" x14ac:dyDescent="0.2">
      <c r="A102" s="2" t="s">
        <v>5</v>
      </c>
      <c r="B102" s="2" t="s">
        <v>149</v>
      </c>
      <c r="C102" s="2" t="s">
        <v>8</v>
      </c>
      <c r="D102" s="2" t="s">
        <v>900</v>
      </c>
      <c r="E102" s="2">
        <v>2</v>
      </c>
      <c r="F102" s="3">
        <v>4</v>
      </c>
      <c r="G102" s="2">
        <v>9</v>
      </c>
      <c r="H102" s="8">
        <v>4</v>
      </c>
      <c r="J102" s="4">
        <v>3</v>
      </c>
      <c r="K102" s="2" t="str">
        <f t="shared" si="1"/>
        <v>resp-inc</v>
      </c>
      <c r="L102" s="2" t="s">
        <v>132</v>
      </c>
    </row>
    <row r="103" spans="1:12" x14ac:dyDescent="0.2">
      <c r="A103" s="2" t="s">
        <v>5</v>
      </c>
      <c r="B103" s="2" t="s">
        <v>149</v>
      </c>
      <c r="C103" s="2" t="s">
        <v>8</v>
      </c>
      <c r="D103" s="2" t="s">
        <v>901</v>
      </c>
      <c r="E103" s="2">
        <v>2</v>
      </c>
      <c r="F103" s="3">
        <v>5</v>
      </c>
      <c r="G103" s="2">
        <v>10</v>
      </c>
      <c r="H103" s="8">
        <v>4</v>
      </c>
      <c r="J103" s="4">
        <v>3</v>
      </c>
      <c r="K103" s="2" t="str">
        <f t="shared" si="1"/>
        <v>resp-inc</v>
      </c>
      <c r="L103" s="2" t="s">
        <v>134</v>
      </c>
    </row>
    <row r="104" spans="1:12" x14ac:dyDescent="0.2">
      <c r="A104" s="2" t="s">
        <v>5</v>
      </c>
      <c r="B104" s="2" t="s">
        <v>149</v>
      </c>
      <c r="C104" s="2" t="s">
        <v>8</v>
      </c>
      <c r="D104" s="2" t="s">
        <v>902</v>
      </c>
      <c r="E104" s="2">
        <v>2</v>
      </c>
      <c r="F104" s="3">
        <v>6</v>
      </c>
      <c r="G104" s="2">
        <v>11</v>
      </c>
      <c r="H104" s="8">
        <v>1</v>
      </c>
      <c r="J104" s="4">
        <v>4</v>
      </c>
      <c r="K104" s="2" t="str">
        <f t="shared" si="1"/>
        <v>resp-inc</v>
      </c>
      <c r="L104" s="2" t="s">
        <v>52</v>
      </c>
    </row>
    <row r="105" spans="1:12" x14ac:dyDescent="0.2">
      <c r="A105" s="2" t="s">
        <v>5</v>
      </c>
      <c r="B105" s="2" t="s">
        <v>149</v>
      </c>
      <c r="C105" s="2" t="s">
        <v>6</v>
      </c>
      <c r="D105" s="2" t="s">
        <v>903</v>
      </c>
      <c r="E105" s="2">
        <v>3</v>
      </c>
      <c r="F105" s="3">
        <v>1</v>
      </c>
      <c r="G105" s="2">
        <v>12</v>
      </c>
      <c r="H105" s="8">
        <v>1</v>
      </c>
      <c r="J105" s="4">
        <v>1</v>
      </c>
      <c r="K105" s="2" t="str">
        <f t="shared" si="1"/>
        <v>resp-correct</v>
      </c>
      <c r="L105" s="2" t="s">
        <v>59</v>
      </c>
    </row>
    <row r="106" spans="1:12" x14ac:dyDescent="0.2">
      <c r="A106" s="2" t="s">
        <v>5</v>
      </c>
      <c r="B106" s="2" t="s">
        <v>149</v>
      </c>
      <c r="C106" s="2" t="s">
        <v>6</v>
      </c>
      <c r="D106" s="2" t="s">
        <v>904</v>
      </c>
      <c r="E106" s="2">
        <v>3</v>
      </c>
      <c r="F106" s="3">
        <v>2</v>
      </c>
      <c r="G106" s="2">
        <v>13</v>
      </c>
      <c r="H106" s="8">
        <v>1</v>
      </c>
      <c r="J106" s="4">
        <v>2</v>
      </c>
      <c r="K106" s="2" t="str">
        <f t="shared" si="1"/>
        <v>resp-inc</v>
      </c>
      <c r="L106" s="2" t="s">
        <v>132</v>
      </c>
    </row>
    <row r="107" spans="1:12" x14ac:dyDescent="0.2">
      <c r="A107" s="2" t="s">
        <v>5</v>
      </c>
      <c r="B107" s="2" t="s">
        <v>149</v>
      </c>
      <c r="C107" s="2" t="s">
        <v>6</v>
      </c>
      <c r="D107" s="2" t="s">
        <v>905</v>
      </c>
      <c r="E107" s="2">
        <v>3</v>
      </c>
      <c r="F107" s="3">
        <v>3</v>
      </c>
      <c r="G107" s="2">
        <v>14</v>
      </c>
      <c r="H107" s="8">
        <v>1</v>
      </c>
      <c r="J107" s="4">
        <v>3</v>
      </c>
      <c r="K107" s="2" t="str">
        <f t="shared" si="1"/>
        <v>resp-inc</v>
      </c>
      <c r="L107" s="2" t="s">
        <v>51</v>
      </c>
    </row>
    <row r="108" spans="1:12" x14ac:dyDescent="0.2">
      <c r="A108" s="2" t="s">
        <v>5</v>
      </c>
      <c r="B108" s="2" t="s">
        <v>149</v>
      </c>
      <c r="C108" s="2" t="s">
        <v>6</v>
      </c>
      <c r="D108" s="2" t="s">
        <v>906</v>
      </c>
      <c r="E108" s="2">
        <v>3</v>
      </c>
      <c r="F108" s="3">
        <v>4</v>
      </c>
      <c r="G108" s="2">
        <v>15</v>
      </c>
      <c r="H108" s="8">
        <v>2</v>
      </c>
      <c r="J108" s="4">
        <v>3</v>
      </c>
      <c r="K108" s="2" t="str">
        <f t="shared" si="1"/>
        <v>resp-inc</v>
      </c>
      <c r="L108" s="2" t="s">
        <v>58</v>
      </c>
    </row>
    <row r="109" spans="1:12" x14ac:dyDescent="0.2">
      <c r="A109" s="2" t="s">
        <v>5</v>
      </c>
      <c r="B109" s="2" t="s">
        <v>149</v>
      </c>
      <c r="C109" s="2" t="s">
        <v>9</v>
      </c>
      <c r="D109" s="2" t="s">
        <v>907</v>
      </c>
      <c r="E109" s="2">
        <v>4</v>
      </c>
      <c r="F109" s="3">
        <v>1</v>
      </c>
      <c r="G109" s="2">
        <v>16</v>
      </c>
      <c r="H109" s="8">
        <v>2</v>
      </c>
      <c r="J109" s="4">
        <v>3</v>
      </c>
      <c r="K109" s="2" t="str">
        <f t="shared" si="1"/>
        <v>resp-inc</v>
      </c>
      <c r="L109" s="2" t="s">
        <v>54</v>
      </c>
    </row>
    <row r="110" spans="1:12" x14ac:dyDescent="0.2">
      <c r="A110" s="2" t="s">
        <v>5</v>
      </c>
      <c r="B110" s="2" t="s">
        <v>149</v>
      </c>
      <c r="C110" s="2" t="s">
        <v>9</v>
      </c>
      <c r="D110" s="2" t="s">
        <v>908</v>
      </c>
      <c r="E110" s="2">
        <v>4</v>
      </c>
      <c r="F110" s="3">
        <v>2</v>
      </c>
      <c r="G110" s="2">
        <v>17</v>
      </c>
      <c r="H110" s="8">
        <v>2</v>
      </c>
      <c r="J110" s="4">
        <v>2</v>
      </c>
      <c r="K110" s="2" t="str">
        <f t="shared" si="1"/>
        <v>resp-correct</v>
      </c>
      <c r="L110" s="2" t="s">
        <v>54</v>
      </c>
    </row>
    <row r="111" spans="1:12" x14ac:dyDescent="0.2">
      <c r="A111" s="2" t="s">
        <v>5</v>
      </c>
      <c r="B111" s="2" t="s">
        <v>149</v>
      </c>
      <c r="C111" s="2" t="s">
        <v>9</v>
      </c>
      <c r="D111" s="2" t="s">
        <v>909</v>
      </c>
      <c r="E111" s="2">
        <v>4</v>
      </c>
      <c r="F111" s="3">
        <v>3</v>
      </c>
      <c r="G111" s="2">
        <v>18</v>
      </c>
      <c r="H111" s="8">
        <v>2</v>
      </c>
      <c r="J111" s="4">
        <v>4</v>
      </c>
      <c r="K111" s="2" t="str">
        <f t="shared" si="1"/>
        <v>resp-inc</v>
      </c>
      <c r="L111" s="2" t="s">
        <v>54</v>
      </c>
    </row>
    <row r="112" spans="1:12" x14ac:dyDescent="0.2">
      <c r="A112" s="2" t="s">
        <v>5</v>
      </c>
      <c r="B112" s="2" t="s">
        <v>149</v>
      </c>
      <c r="C112" s="2" t="s">
        <v>9</v>
      </c>
      <c r="D112" s="2" t="s">
        <v>910</v>
      </c>
      <c r="E112" s="2">
        <v>4</v>
      </c>
      <c r="F112" s="3">
        <v>4</v>
      </c>
      <c r="G112" s="2">
        <v>19</v>
      </c>
      <c r="H112" s="8">
        <v>2</v>
      </c>
      <c r="J112" s="4">
        <v>3</v>
      </c>
      <c r="K112" s="2" t="str">
        <f t="shared" si="1"/>
        <v>resp-inc</v>
      </c>
      <c r="L112" s="2" t="s">
        <v>54</v>
      </c>
    </row>
    <row r="113" spans="1:12" x14ac:dyDescent="0.2">
      <c r="A113" s="2" t="s">
        <v>5</v>
      </c>
      <c r="B113" s="2" t="s">
        <v>149</v>
      </c>
      <c r="C113" s="2" t="s">
        <v>9</v>
      </c>
      <c r="D113" s="2" t="s">
        <v>911</v>
      </c>
      <c r="E113" s="2">
        <v>4</v>
      </c>
      <c r="F113" s="3">
        <v>5</v>
      </c>
      <c r="G113" s="2">
        <v>20</v>
      </c>
      <c r="H113" s="8">
        <v>1</v>
      </c>
      <c r="J113" s="4">
        <v>1</v>
      </c>
      <c r="K113" s="2" t="str">
        <f t="shared" si="1"/>
        <v>resp-correct</v>
      </c>
      <c r="L113" s="2" t="s">
        <v>54</v>
      </c>
    </row>
    <row r="114" spans="1:12" x14ac:dyDescent="0.2">
      <c r="A114" s="2" t="s">
        <v>5</v>
      </c>
      <c r="B114" s="2" t="s">
        <v>149</v>
      </c>
      <c r="C114" s="2" t="s">
        <v>9</v>
      </c>
      <c r="D114" s="2" t="s">
        <v>912</v>
      </c>
      <c r="E114" s="2">
        <v>4</v>
      </c>
      <c r="F114" s="3">
        <v>6</v>
      </c>
      <c r="G114" s="2">
        <v>21</v>
      </c>
      <c r="H114" s="8">
        <v>2</v>
      </c>
      <c r="J114" s="4">
        <v>1</v>
      </c>
      <c r="K114" s="2" t="str">
        <f t="shared" si="1"/>
        <v>resp-inc</v>
      </c>
      <c r="L114" s="2" t="s">
        <v>54</v>
      </c>
    </row>
    <row r="115" spans="1:12" x14ac:dyDescent="0.2">
      <c r="A115" s="2" t="s">
        <v>5</v>
      </c>
      <c r="B115" s="2" t="s">
        <v>149</v>
      </c>
      <c r="C115" s="2" t="s">
        <v>10</v>
      </c>
      <c r="D115" s="2" t="s">
        <v>913</v>
      </c>
      <c r="E115" s="2">
        <v>5</v>
      </c>
      <c r="F115" s="3">
        <v>1</v>
      </c>
      <c r="G115" s="2">
        <v>22</v>
      </c>
      <c r="H115" s="8">
        <v>1</v>
      </c>
      <c r="J115" s="4">
        <v>4</v>
      </c>
      <c r="K115" s="2" t="str">
        <f t="shared" si="1"/>
        <v>resp-inc</v>
      </c>
      <c r="L115" s="2" t="s">
        <v>130</v>
      </c>
    </row>
    <row r="116" spans="1:12" x14ac:dyDescent="0.2">
      <c r="A116" s="2" t="s">
        <v>5</v>
      </c>
      <c r="B116" s="2" t="s">
        <v>149</v>
      </c>
      <c r="C116" s="2" t="s">
        <v>10</v>
      </c>
      <c r="D116" s="2" t="s">
        <v>914</v>
      </c>
      <c r="E116" s="2">
        <v>5</v>
      </c>
      <c r="F116" s="3">
        <v>2</v>
      </c>
      <c r="G116" s="2">
        <v>23</v>
      </c>
      <c r="H116" s="8">
        <v>1</v>
      </c>
      <c r="J116" s="4">
        <v>2</v>
      </c>
      <c r="K116" s="2" t="str">
        <f t="shared" si="1"/>
        <v>resp-inc</v>
      </c>
      <c r="L116" s="2" t="s">
        <v>130</v>
      </c>
    </row>
    <row r="117" spans="1:12" x14ac:dyDescent="0.2">
      <c r="A117" s="2" t="s">
        <v>5</v>
      </c>
      <c r="B117" s="2" t="s">
        <v>149</v>
      </c>
      <c r="C117" s="2" t="s">
        <v>10</v>
      </c>
      <c r="D117" s="2" t="s">
        <v>915</v>
      </c>
      <c r="E117" s="2">
        <v>5</v>
      </c>
      <c r="F117" s="3">
        <v>3</v>
      </c>
      <c r="G117" s="2">
        <v>24</v>
      </c>
      <c r="H117" s="8">
        <v>2</v>
      </c>
      <c r="J117" s="4">
        <v>1</v>
      </c>
      <c r="K117" s="2" t="str">
        <f t="shared" si="1"/>
        <v>resp-inc</v>
      </c>
      <c r="L117" s="2" t="s">
        <v>130</v>
      </c>
    </row>
    <row r="118" spans="1:12" x14ac:dyDescent="0.2">
      <c r="A118" s="2" t="s">
        <v>5</v>
      </c>
      <c r="B118" s="2" t="s">
        <v>149</v>
      </c>
      <c r="C118" s="2" t="s">
        <v>10</v>
      </c>
      <c r="D118" s="2" t="s">
        <v>916</v>
      </c>
      <c r="E118" s="2">
        <v>5</v>
      </c>
      <c r="F118" s="3">
        <v>4</v>
      </c>
      <c r="G118" s="2">
        <v>25</v>
      </c>
      <c r="H118" s="8">
        <v>2</v>
      </c>
      <c r="J118" s="4">
        <v>3</v>
      </c>
      <c r="K118" s="2" t="str">
        <f t="shared" si="1"/>
        <v>resp-inc</v>
      </c>
      <c r="L118" s="2" t="s">
        <v>130</v>
      </c>
    </row>
    <row r="119" spans="1:12" x14ac:dyDescent="0.2">
      <c r="A119" s="2" t="s">
        <v>5</v>
      </c>
      <c r="B119" s="2" t="s">
        <v>149</v>
      </c>
      <c r="C119" s="2" t="s">
        <v>10</v>
      </c>
      <c r="D119" s="2" t="s">
        <v>917</v>
      </c>
      <c r="E119" s="2">
        <v>5</v>
      </c>
      <c r="F119" s="3">
        <v>5</v>
      </c>
      <c r="G119" s="2">
        <v>26</v>
      </c>
      <c r="H119" s="8">
        <v>2</v>
      </c>
      <c r="J119" s="4">
        <v>3</v>
      </c>
      <c r="K119" s="2" t="str">
        <f t="shared" si="1"/>
        <v>resp-inc</v>
      </c>
      <c r="L119" s="2" t="s">
        <v>130</v>
      </c>
    </row>
    <row r="120" spans="1:12" x14ac:dyDescent="0.2">
      <c r="A120" s="2" t="s">
        <v>5</v>
      </c>
      <c r="B120" s="2" t="s">
        <v>149</v>
      </c>
      <c r="C120" s="2" t="s">
        <v>6</v>
      </c>
      <c r="D120" s="2" t="s">
        <v>918</v>
      </c>
      <c r="E120" s="2">
        <v>6</v>
      </c>
      <c r="F120" s="3">
        <v>1</v>
      </c>
      <c r="G120" s="2">
        <v>27</v>
      </c>
      <c r="H120" s="8">
        <v>2</v>
      </c>
      <c r="J120" s="4">
        <v>4</v>
      </c>
      <c r="K120" s="2" t="str">
        <f t="shared" si="1"/>
        <v>resp-inc</v>
      </c>
      <c r="L120" s="2" t="s">
        <v>48</v>
      </c>
    </row>
    <row r="121" spans="1:12" x14ac:dyDescent="0.2">
      <c r="A121" s="2" t="s">
        <v>5</v>
      </c>
      <c r="B121" s="2" t="s">
        <v>149</v>
      </c>
      <c r="C121" s="2" t="s">
        <v>6</v>
      </c>
      <c r="D121" s="2" t="s">
        <v>919</v>
      </c>
      <c r="E121" s="2">
        <v>6</v>
      </c>
      <c r="F121" s="3">
        <v>2</v>
      </c>
      <c r="G121" s="2">
        <v>28</v>
      </c>
      <c r="H121" s="8">
        <v>2</v>
      </c>
      <c r="J121" s="4">
        <v>2</v>
      </c>
      <c r="K121" s="2" t="str">
        <f t="shared" si="1"/>
        <v>resp-correct</v>
      </c>
      <c r="L121" s="2" t="s">
        <v>59</v>
      </c>
    </row>
    <row r="122" spans="1:12" x14ac:dyDescent="0.2">
      <c r="A122" s="2" t="s">
        <v>5</v>
      </c>
      <c r="B122" s="2" t="s">
        <v>149</v>
      </c>
      <c r="C122" s="2" t="s">
        <v>6</v>
      </c>
      <c r="D122" s="2" t="s">
        <v>920</v>
      </c>
      <c r="E122" s="2">
        <v>6</v>
      </c>
      <c r="F122" s="3">
        <v>3</v>
      </c>
      <c r="G122" s="2">
        <v>29</v>
      </c>
      <c r="H122" s="8">
        <v>2</v>
      </c>
      <c r="J122" s="4">
        <v>1</v>
      </c>
      <c r="K122" s="2" t="str">
        <f t="shared" si="1"/>
        <v>resp-inc</v>
      </c>
      <c r="L122" s="2" t="s">
        <v>52</v>
      </c>
    </row>
    <row r="123" spans="1:12" x14ac:dyDescent="0.2">
      <c r="A123" s="2" t="s">
        <v>5</v>
      </c>
      <c r="B123" s="2" t="s">
        <v>149</v>
      </c>
      <c r="C123" s="2" t="s">
        <v>6</v>
      </c>
      <c r="D123" s="2" t="s">
        <v>921</v>
      </c>
      <c r="E123" s="2">
        <v>6</v>
      </c>
      <c r="F123" s="3">
        <v>4</v>
      </c>
      <c r="G123" s="2">
        <v>30</v>
      </c>
      <c r="H123" s="8">
        <v>3</v>
      </c>
      <c r="J123" s="4">
        <v>1</v>
      </c>
      <c r="K123" s="2" t="str">
        <f t="shared" si="1"/>
        <v>resp-inc</v>
      </c>
      <c r="L123" s="2" t="s">
        <v>132</v>
      </c>
    </row>
    <row r="124" spans="1:12" x14ac:dyDescent="0.2">
      <c r="A124" s="2" t="s">
        <v>5</v>
      </c>
      <c r="B124" s="2" t="s">
        <v>149</v>
      </c>
      <c r="C124" s="2" t="s">
        <v>11</v>
      </c>
      <c r="D124" s="2" t="s">
        <v>922</v>
      </c>
      <c r="E124" s="2">
        <v>7</v>
      </c>
      <c r="F124" s="3">
        <v>1</v>
      </c>
      <c r="G124" s="2">
        <v>31</v>
      </c>
      <c r="H124" s="8">
        <v>3</v>
      </c>
      <c r="J124" s="4">
        <v>2</v>
      </c>
      <c r="K124" s="2" t="str">
        <f t="shared" si="1"/>
        <v>resp-inc</v>
      </c>
      <c r="L124" s="2" t="s">
        <v>55</v>
      </c>
    </row>
    <row r="125" spans="1:12" x14ac:dyDescent="0.2">
      <c r="A125" s="2" t="s">
        <v>5</v>
      </c>
      <c r="B125" s="2" t="s">
        <v>149</v>
      </c>
      <c r="C125" s="2" t="s">
        <v>11</v>
      </c>
      <c r="D125" s="2" t="s">
        <v>923</v>
      </c>
      <c r="E125" s="2">
        <v>7</v>
      </c>
      <c r="F125" s="3">
        <v>2</v>
      </c>
      <c r="G125" s="2">
        <v>32</v>
      </c>
      <c r="H125" s="8">
        <v>3</v>
      </c>
      <c r="J125" s="4">
        <v>4</v>
      </c>
      <c r="K125" s="2" t="str">
        <f t="shared" si="1"/>
        <v>resp-inc</v>
      </c>
      <c r="L125" s="2" t="s">
        <v>55</v>
      </c>
    </row>
    <row r="126" spans="1:12" x14ac:dyDescent="0.2">
      <c r="A126" s="2" t="s">
        <v>5</v>
      </c>
      <c r="B126" s="2" t="s">
        <v>149</v>
      </c>
      <c r="C126" s="2" t="s">
        <v>11</v>
      </c>
      <c r="D126" s="2" t="s">
        <v>924</v>
      </c>
      <c r="E126" s="2">
        <v>7</v>
      </c>
      <c r="F126" s="3">
        <v>3</v>
      </c>
      <c r="G126" s="2">
        <v>33</v>
      </c>
      <c r="H126" s="8">
        <v>3</v>
      </c>
      <c r="J126" s="4">
        <v>3</v>
      </c>
      <c r="K126" s="2" t="str">
        <f t="shared" si="1"/>
        <v>resp-correct</v>
      </c>
      <c r="L126" s="2" t="s">
        <v>55</v>
      </c>
    </row>
    <row r="127" spans="1:12" x14ac:dyDescent="0.2">
      <c r="A127" s="2" t="s">
        <v>5</v>
      </c>
      <c r="B127" s="2" t="s">
        <v>149</v>
      </c>
      <c r="C127" s="2" t="s">
        <v>11</v>
      </c>
      <c r="D127" s="2" t="s">
        <v>925</v>
      </c>
      <c r="E127" s="2">
        <v>7</v>
      </c>
      <c r="F127" s="3">
        <v>4</v>
      </c>
      <c r="G127" s="2">
        <v>34</v>
      </c>
      <c r="H127" s="8">
        <v>3</v>
      </c>
      <c r="J127" s="4">
        <v>2</v>
      </c>
      <c r="K127" s="2" t="str">
        <f t="shared" si="1"/>
        <v>resp-inc</v>
      </c>
      <c r="L127" s="2" t="s">
        <v>55</v>
      </c>
    </row>
    <row r="128" spans="1:12" x14ac:dyDescent="0.2">
      <c r="A128" s="2" t="s">
        <v>5</v>
      </c>
      <c r="B128" s="2" t="s">
        <v>149</v>
      </c>
      <c r="C128" s="2" t="s">
        <v>11</v>
      </c>
      <c r="D128" s="2" t="s">
        <v>926</v>
      </c>
      <c r="E128" s="2">
        <v>7</v>
      </c>
      <c r="F128" s="3">
        <v>5</v>
      </c>
      <c r="G128" s="2">
        <v>35</v>
      </c>
      <c r="H128" s="8">
        <v>3</v>
      </c>
      <c r="J128" s="4">
        <v>3</v>
      </c>
      <c r="K128" s="2" t="str">
        <f t="shared" si="1"/>
        <v>resp-correct</v>
      </c>
      <c r="L128" s="2" t="s">
        <v>55</v>
      </c>
    </row>
    <row r="129" spans="1:12" x14ac:dyDescent="0.2">
      <c r="A129" s="2" t="s">
        <v>5</v>
      </c>
      <c r="B129" s="2" t="s">
        <v>149</v>
      </c>
      <c r="C129" s="2" t="s">
        <v>12</v>
      </c>
      <c r="D129" s="2" t="s">
        <v>927</v>
      </c>
      <c r="E129" s="2">
        <v>8</v>
      </c>
      <c r="F129" s="3">
        <v>1</v>
      </c>
      <c r="G129" s="2">
        <v>36</v>
      </c>
      <c r="H129" s="8">
        <v>4</v>
      </c>
      <c r="J129" s="4">
        <v>2</v>
      </c>
      <c r="K129" s="2" t="str">
        <f t="shared" si="1"/>
        <v>resp-inc</v>
      </c>
      <c r="L129" s="2" t="s">
        <v>57</v>
      </c>
    </row>
    <row r="130" spans="1:12" x14ac:dyDescent="0.2">
      <c r="A130" s="2" t="s">
        <v>5</v>
      </c>
      <c r="B130" s="2" t="s">
        <v>149</v>
      </c>
      <c r="C130" s="2" t="s">
        <v>12</v>
      </c>
      <c r="D130" s="2" t="s">
        <v>928</v>
      </c>
      <c r="E130" s="2">
        <v>8</v>
      </c>
      <c r="F130" s="3">
        <v>2</v>
      </c>
      <c r="G130" s="2">
        <v>37</v>
      </c>
      <c r="H130" s="8">
        <v>4</v>
      </c>
      <c r="J130" s="4">
        <v>4</v>
      </c>
      <c r="K130" s="2" t="str">
        <f t="shared" si="1"/>
        <v>resp-correct</v>
      </c>
      <c r="L130" s="2" t="s">
        <v>50</v>
      </c>
    </row>
    <row r="131" spans="1:12" x14ac:dyDescent="0.2">
      <c r="A131" s="2" t="s">
        <v>5</v>
      </c>
      <c r="B131" s="2" t="s">
        <v>149</v>
      </c>
      <c r="C131" s="2" t="s">
        <v>12</v>
      </c>
      <c r="D131" s="2" t="s">
        <v>929</v>
      </c>
      <c r="E131" s="2">
        <v>8</v>
      </c>
      <c r="F131" s="3">
        <v>3</v>
      </c>
      <c r="G131" s="2">
        <v>38</v>
      </c>
      <c r="H131" s="8">
        <v>4</v>
      </c>
      <c r="J131" s="4">
        <v>2</v>
      </c>
      <c r="K131" s="2" t="str">
        <f t="shared" si="1"/>
        <v>resp-inc</v>
      </c>
      <c r="L131" s="2" t="s">
        <v>49</v>
      </c>
    </row>
    <row r="132" spans="1:12" x14ac:dyDescent="0.2">
      <c r="A132" s="2" t="s">
        <v>5</v>
      </c>
      <c r="B132" s="2" t="s">
        <v>149</v>
      </c>
      <c r="C132" s="2" t="s">
        <v>12</v>
      </c>
      <c r="D132" s="2" t="s">
        <v>930</v>
      </c>
      <c r="E132" s="2">
        <v>8</v>
      </c>
      <c r="F132" s="3">
        <v>4</v>
      </c>
      <c r="G132" s="2">
        <v>39</v>
      </c>
      <c r="H132" s="8">
        <v>4</v>
      </c>
      <c r="J132" s="4">
        <v>4</v>
      </c>
      <c r="K132" s="2" t="str">
        <f t="shared" si="1"/>
        <v>resp-correct</v>
      </c>
      <c r="L132" s="2" t="s">
        <v>56</v>
      </c>
    </row>
    <row r="133" spans="1:12" x14ac:dyDescent="0.2">
      <c r="A133" s="2" t="s">
        <v>5</v>
      </c>
      <c r="B133" s="2" t="s">
        <v>149</v>
      </c>
      <c r="C133" s="2" t="s">
        <v>12</v>
      </c>
      <c r="D133" s="2" t="s">
        <v>931</v>
      </c>
      <c r="E133" s="2">
        <v>8</v>
      </c>
      <c r="F133" s="3">
        <v>5</v>
      </c>
      <c r="G133" s="2">
        <v>40</v>
      </c>
      <c r="H133" s="8">
        <v>3</v>
      </c>
      <c r="J133" s="4">
        <v>3</v>
      </c>
      <c r="K133" s="2" t="str">
        <f t="shared" si="1"/>
        <v>resp-correct</v>
      </c>
      <c r="L133" s="2" t="s">
        <v>57</v>
      </c>
    </row>
    <row r="134" spans="1:12" x14ac:dyDescent="0.2">
      <c r="A134" s="2" t="s">
        <v>5</v>
      </c>
      <c r="B134" s="2" t="s">
        <v>149</v>
      </c>
      <c r="C134" s="2" t="s">
        <v>12</v>
      </c>
      <c r="D134" s="2" t="s">
        <v>932</v>
      </c>
      <c r="E134" s="2">
        <v>8</v>
      </c>
      <c r="F134" s="3">
        <v>6</v>
      </c>
      <c r="G134" s="2">
        <v>41</v>
      </c>
      <c r="H134" s="8">
        <v>3</v>
      </c>
      <c r="J134" s="4">
        <v>2</v>
      </c>
      <c r="K134" s="2" t="str">
        <f t="shared" si="1"/>
        <v>resp-inc</v>
      </c>
      <c r="L134" s="2" t="s">
        <v>133</v>
      </c>
    </row>
    <row r="135" spans="1:12" x14ac:dyDescent="0.2">
      <c r="A135" s="2" t="s">
        <v>5</v>
      </c>
      <c r="B135" s="2" t="s">
        <v>149</v>
      </c>
      <c r="C135" s="2" t="s">
        <v>95</v>
      </c>
      <c r="D135" s="2" t="s">
        <v>933</v>
      </c>
      <c r="E135" s="2">
        <v>9</v>
      </c>
      <c r="F135" s="3">
        <v>1</v>
      </c>
      <c r="G135" s="2">
        <v>42</v>
      </c>
      <c r="H135" s="8">
        <v>3</v>
      </c>
      <c r="J135" s="4">
        <v>3</v>
      </c>
      <c r="K135" s="2" t="str">
        <f t="shared" si="1"/>
        <v>resp-correct</v>
      </c>
      <c r="L135" s="2" t="s">
        <v>59</v>
      </c>
    </row>
    <row r="136" spans="1:12" x14ac:dyDescent="0.2">
      <c r="A136" s="2" t="s">
        <v>5</v>
      </c>
      <c r="B136" s="2" t="s">
        <v>149</v>
      </c>
      <c r="C136" s="2" t="s">
        <v>95</v>
      </c>
      <c r="D136" s="2" t="s">
        <v>934</v>
      </c>
      <c r="E136" s="2">
        <v>9</v>
      </c>
      <c r="F136" s="3">
        <v>2</v>
      </c>
      <c r="G136" s="2">
        <v>43</v>
      </c>
      <c r="H136" s="8">
        <v>3</v>
      </c>
      <c r="J136" s="4">
        <v>3</v>
      </c>
      <c r="K136" s="2" t="str">
        <f t="shared" si="1"/>
        <v>resp-correct</v>
      </c>
      <c r="L136" s="2" t="s">
        <v>59</v>
      </c>
    </row>
    <row r="137" spans="1:12" x14ac:dyDescent="0.2">
      <c r="A137" s="2" t="s">
        <v>5</v>
      </c>
      <c r="B137" s="2" t="s">
        <v>149</v>
      </c>
      <c r="C137" s="2" t="s">
        <v>95</v>
      </c>
      <c r="D137" s="2" t="s">
        <v>935</v>
      </c>
      <c r="E137" s="2">
        <v>9</v>
      </c>
      <c r="F137" s="3">
        <v>3</v>
      </c>
      <c r="G137" s="2">
        <v>44</v>
      </c>
      <c r="H137" s="8">
        <v>3</v>
      </c>
      <c r="J137" s="4">
        <v>2</v>
      </c>
      <c r="K137" s="2" t="str">
        <f t="shared" si="1"/>
        <v>resp-inc</v>
      </c>
      <c r="L137" s="2" t="s">
        <v>59</v>
      </c>
    </row>
    <row r="138" spans="1:12" x14ac:dyDescent="0.2">
      <c r="A138" s="2" t="s">
        <v>5</v>
      </c>
      <c r="B138" s="2" t="s">
        <v>149</v>
      </c>
      <c r="C138" s="2" t="s">
        <v>95</v>
      </c>
      <c r="D138" s="2" t="s">
        <v>936</v>
      </c>
      <c r="E138" s="2">
        <v>9</v>
      </c>
      <c r="F138" s="3">
        <v>4</v>
      </c>
      <c r="G138" s="2">
        <v>45</v>
      </c>
      <c r="H138" s="8">
        <v>3</v>
      </c>
      <c r="J138" s="4">
        <v>4</v>
      </c>
      <c r="K138" s="2" t="str">
        <f t="shared" si="1"/>
        <v>resp-inc</v>
      </c>
      <c r="L138" s="2" t="s">
        <v>59</v>
      </c>
    </row>
    <row r="139" spans="1:12" x14ac:dyDescent="0.2">
      <c r="A139" s="2" t="s">
        <v>5</v>
      </c>
      <c r="B139" s="2" t="s">
        <v>149</v>
      </c>
      <c r="C139" s="2" t="s">
        <v>95</v>
      </c>
      <c r="D139" s="2" t="s">
        <v>937</v>
      </c>
      <c r="E139" s="2">
        <v>9</v>
      </c>
      <c r="F139" s="3">
        <v>5</v>
      </c>
      <c r="G139" s="2">
        <v>46</v>
      </c>
      <c r="H139" s="8">
        <v>4</v>
      </c>
      <c r="J139" s="4">
        <v>3</v>
      </c>
      <c r="K139" s="2" t="str">
        <f t="shared" si="1"/>
        <v>resp-inc</v>
      </c>
      <c r="L139" s="2" t="s">
        <v>59</v>
      </c>
    </row>
    <row r="140" spans="1:12" x14ac:dyDescent="0.2">
      <c r="A140" s="2" t="s">
        <v>5</v>
      </c>
      <c r="B140" s="2" t="s">
        <v>149</v>
      </c>
      <c r="C140" s="2" t="s">
        <v>95</v>
      </c>
      <c r="D140" s="2" t="s">
        <v>938</v>
      </c>
      <c r="E140" s="2">
        <v>9</v>
      </c>
      <c r="F140" s="3">
        <v>6</v>
      </c>
      <c r="G140" s="2">
        <v>47</v>
      </c>
      <c r="H140" s="8">
        <v>4</v>
      </c>
      <c r="J140" s="4">
        <v>1</v>
      </c>
      <c r="K140" s="2" t="str">
        <f t="shared" si="1"/>
        <v>resp-inc</v>
      </c>
      <c r="L140" s="2" t="s">
        <v>59</v>
      </c>
    </row>
    <row r="141" spans="1:12" x14ac:dyDescent="0.2">
      <c r="A141" s="2" t="s">
        <v>5</v>
      </c>
      <c r="B141" s="2" t="s">
        <v>149</v>
      </c>
      <c r="C141" s="2" t="s">
        <v>6</v>
      </c>
      <c r="D141" s="2" t="s">
        <v>956</v>
      </c>
      <c r="E141" s="2">
        <v>10</v>
      </c>
      <c r="F141" s="3">
        <v>1</v>
      </c>
      <c r="G141" s="2">
        <v>48</v>
      </c>
      <c r="H141" s="8">
        <v>4</v>
      </c>
      <c r="J141" s="4">
        <v>1</v>
      </c>
      <c r="K141" s="2" t="str">
        <f t="shared" si="1"/>
        <v>resp-inc</v>
      </c>
      <c r="L141" s="2" t="s">
        <v>56</v>
      </c>
    </row>
    <row r="142" spans="1:12" x14ac:dyDescent="0.2">
      <c r="A142" s="2" t="s">
        <v>5</v>
      </c>
      <c r="B142" s="2" t="s">
        <v>149</v>
      </c>
      <c r="C142" s="2" t="s">
        <v>6</v>
      </c>
      <c r="D142" s="2" t="s">
        <v>957</v>
      </c>
      <c r="E142" s="2">
        <v>10</v>
      </c>
      <c r="F142" s="3">
        <v>2</v>
      </c>
      <c r="G142" s="2">
        <v>49</v>
      </c>
      <c r="H142" s="8">
        <v>4</v>
      </c>
      <c r="J142" s="4">
        <v>2</v>
      </c>
      <c r="K142" s="2" t="str">
        <f t="shared" si="1"/>
        <v>resp-inc</v>
      </c>
      <c r="L142" s="2" t="s">
        <v>133</v>
      </c>
    </row>
    <row r="143" spans="1:12" x14ac:dyDescent="0.2">
      <c r="A143" s="2" t="s">
        <v>5</v>
      </c>
      <c r="B143" s="2" t="s">
        <v>149</v>
      </c>
      <c r="C143" s="2" t="s">
        <v>6</v>
      </c>
      <c r="D143" s="2" t="s">
        <v>958</v>
      </c>
      <c r="E143" s="2">
        <v>10</v>
      </c>
      <c r="F143" s="3">
        <v>3</v>
      </c>
      <c r="G143" s="2">
        <v>50</v>
      </c>
      <c r="H143" s="8">
        <v>4</v>
      </c>
      <c r="J143" s="4">
        <v>2</v>
      </c>
      <c r="K143" s="2" t="str">
        <f t="shared" ref="K143:K145" si="2">IF(H143=J143,"resp-correct","resp-inc")</f>
        <v>resp-inc</v>
      </c>
      <c r="L143" s="2" t="s">
        <v>133</v>
      </c>
    </row>
    <row r="144" spans="1:12" x14ac:dyDescent="0.2">
      <c r="A144" s="2" t="s">
        <v>5</v>
      </c>
      <c r="B144" s="2" t="s">
        <v>149</v>
      </c>
      <c r="C144" s="2" t="s">
        <v>6</v>
      </c>
      <c r="D144" s="2" t="s">
        <v>959</v>
      </c>
      <c r="E144" s="2">
        <v>10</v>
      </c>
      <c r="F144" s="3">
        <v>4</v>
      </c>
      <c r="G144" s="2">
        <v>51</v>
      </c>
      <c r="H144" s="8">
        <v>4</v>
      </c>
      <c r="J144" s="4">
        <v>3</v>
      </c>
      <c r="K144" s="2" t="str">
        <f t="shared" si="2"/>
        <v>resp-inc</v>
      </c>
      <c r="L144" s="2" t="s">
        <v>52</v>
      </c>
    </row>
    <row r="145" spans="1:12" x14ac:dyDescent="0.2">
      <c r="A145" s="2" t="s">
        <v>5</v>
      </c>
      <c r="B145" s="2" t="s">
        <v>149</v>
      </c>
      <c r="C145" s="2" t="s">
        <v>6</v>
      </c>
      <c r="D145" s="2" t="s">
        <v>960</v>
      </c>
      <c r="E145" s="2">
        <v>10</v>
      </c>
      <c r="F145" s="3">
        <v>5</v>
      </c>
      <c r="G145" s="2">
        <v>52</v>
      </c>
      <c r="H145" s="8">
        <v>4</v>
      </c>
      <c r="J145" s="4">
        <v>2</v>
      </c>
      <c r="K145" s="2" t="str">
        <f t="shared" si="2"/>
        <v>resp-inc</v>
      </c>
      <c r="L145" s="2" t="s">
        <v>59</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topLeftCell="A121" workbookViewId="0">
      <selection activeCell="C145" sqref="C145"/>
    </sheetView>
  </sheetViews>
  <sheetFormatPr defaultColWidth="54.5703125" defaultRowHeight="11.25" x14ac:dyDescent="0.2"/>
  <cols>
    <col min="1" max="2" width="10" style="9" customWidth="1" collapsed="1"/>
    <col min="3" max="3" width="54.5703125" style="9" collapsed="1"/>
    <col min="4" max="4" width="4.7109375" style="9" customWidth="1" collapsed="1"/>
    <col min="5" max="16384" width="54.5703125" style="9" collapsed="1"/>
  </cols>
  <sheetData>
    <row r="1" spans="1:10" s="10" customFormat="1" x14ac:dyDescent="0.2">
      <c r="A1" s="10" t="s">
        <v>2</v>
      </c>
      <c r="B1" s="10" t="s">
        <v>70</v>
      </c>
      <c r="C1" s="10" t="s">
        <v>86</v>
      </c>
      <c r="D1" s="10" t="s">
        <v>0</v>
      </c>
      <c r="E1" s="10" t="s">
        <v>1</v>
      </c>
      <c r="F1" s="10" t="s">
        <v>87</v>
      </c>
      <c r="G1" s="10" t="s">
        <v>88</v>
      </c>
      <c r="H1" s="10" t="s">
        <v>89</v>
      </c>
      <c r="I1" s="10" t="s">
        <v>90</v>
      </c>
      <c r="J1" s="10" t="s">
        <v>91</v>
      </c>
    </row>
    <row r="2" spans="1:10" x14ac:dyDescent="0.2">
      <c r="A2" s="2" t="s">
        <v>3</v>
      </c>
      <c r="B2" s="4">
        <v>1</v>
      </c>
      <c r="E2" s="2" t="s">
        <v>158</v>
      </c>
      <c r="F2" s="2" t="s">
        <v>159</v>
      </c>
      <c r="G2" s="2" t="s">
        <v>160</v>
      </c>
      <c r="H2" s="2" t="s">
        <v>161</v>
      </c>
      <c r="I2" s="2" t="s">
        <v>162</v>
      </c>
    </row>
    <row r="3" spans="1:10" x14ac:dyDescent="0.2">
      <c r="A3" s="2" t="s">
        <v>3</v>
      </c>
      <c r="B3" s="4">
        <v>2</v>
      </c>
      <c r="E3" s="2" t="s">
        <v>163</v>
      </c>
      <c r="F3" s="2" t="s">
        <v>164</v>
      </c>
      <c r="G3" s="2" t="s">
        <v>165</v>
      </c>
      <c r="H3" s="2" t="s">
        <v>166</v>
      </c>
      <c r="I3" s="2" t="s">
        <v>167</v>
      </c>
    </row>
    <row r="4" spans="1:10" x14ac:dyDescent="0.2">
      <c r="A4" s="2" t="s">
        <v>3</v>
      </c>
      <c r="B4" s="4">
        <v>3</v>
      </c>
      <c r="E4" s="2" t="s">
        <v>168</v>
      </c>
      <c r="F4" s="2" t="s">
        <v>169</v>
      </c>
      <c r="G4" s="2" t="s">
        <v>170</v>
      </c>
      <c r="H4" s="2" t="s">
        <v>171</v>
      </c>
      <c r="I4" s="2" t="s">
        <v>172</v>
      </c>
    </row>
    <row r="5" spans="1:10" x14ac:dyDescent="0.2">
      <c r="A5" s="2" t="s">
        <v>3</v>
      </c>
      <c r="B5" s="4">
        <v>4</v>
      </c>
      <c r="E5" s="2" t="s">
        <v>173</v>
      </c>
      <c r="F5" s="2" t="s">
        <v>138</v>
      </c>
      <c r="G5" s="2" t="s">
        <v>174</v>
      </c>
      <c r="H5" s="2" t="s">
        <v>175</v>
      </c>
      <c r="I5" s="2" t="s">
        <v>176</v>
      </c>
    </row>
    <row r="6" spans="1:10" x14ac:dyDescent="0.2">
      <c r="A6" s="2" t="s">
        <v>3</v>
      </c>
      <c r="B6" s="4">
        <v>5</v>
      </c>
      <c r="C6" s="2" t="s">
        <v>178</v>
      </c>
      <c r="E6" s="2" t="s">
        <v>177</v>
      </c>
      <c r="F6" s="2" t="s">
        <v>103</v>
      </c>
      <c r="G6" s="2" t="s">
        <v>103</v>
      </c>
      <c r="H6" s="2" t="s">
        <v>103</v>
      </c>
      <c r="I6" s="2" t="s">
        <v>103</v>
      </c>
    </row>
    <row r="7" spans="1:10" x14ac:dyDescent="0.2">
      <c r="A7" s="2" t="s">
        <v>3</v>
      </c>
      <c r="B7" s="4">
        <v>6</v>
      </c>
      <c r="E7" s="2" t="s">
        <v>179</v>
      </c>
      <c r="F7" s="2" t="s">
        <v>180</v>
      </c>
      <c r="G7" s="2" t="s">
        <v>181</v>
      </c>
      <c r="H7" s="2" t="s">
        <v>182</v>
      </c>
      <c r="I7" s="2" t="s">
        <v>183</v>
      </c>
    </row>
    <row r="8" spans="1:10" x14ac:dyDescent="0.2">
      <c r="A8" s="2" t="s">
        <v>3</v>
      </c>
      <c r="B8" s="4">
        <v>7</v>
      </c>
      <c r="E8" s="2" t="s">
        <v>184</v>
      </c>
      <c r="F8" s="2" t="s">
        <v>185</v>
      </c>
      <c r="G8" s="2" t="s">
        <v>186</v>
      </c>
      <c r="H8" s="2" t="s">
        <v>187</v>
      </c>
      <c r="I8" s="2" t="s">
        <v>188</v>
      </c>
    </row>
    <row r="9" spans="1:10" x14ac:dyDescent="0.2">
      <c r="A9" s="2" t="s">
        <v>3</v>
      </c>
      <c r="B9" s="4">
        <v>8</v>
      </c>
      <c r="E9" s="2" t="s">
        <v>189</v>
      </c>
      <c r="F9" s="2" t="s">
        <v>190</v>
      </c>
      <c r="G9" s="2" t="s">
        <v>191</v>
      </c>
      <c r="H9" s="2" t="s">
        <v>192</v>
      </c>
      <c r="I9" s="2" t="s">
        <v>193</v>
      </c>
    </row>
    <row r="10" spans="1:10" x14ac:dyDescent="0.2">
      <c r="A10" s="2" t="s">
        <v>3</v>
      </c>
      <c r="B10" s="4">
        <v>9</v>
      </c>
      <c r="E10" s="2" t="s">
        <v>194</v>
      </c>
      <c r="F10" s="2" t="s">
        <v>195</v>
      </c>
      <c r="G10" s="2" t="s">
        <v>196</v>
      </c>
      <c r="H10" s="2" t="s">
        <v>197</v>
      </c>
      <c r="I10" s="2" t="s">
        <v>198</v>
      </c>
    </row>
    <row r="11" spans="1:10" x14ac:dyDescent="0.2">
      <c r="A11" s="2" t="s">
        <v>3</v>
      </c>
      <c r="B11" s="4">
        <v>10</v>
      </c>
      <c r="E11" s="2" t="s">
        <v>199</v>
      </c>
      <c r="F11" s="2" t="s">
        <v>107</v>
      </c>
      <c r="G11" s="2" t="s">
        <v>124</v>
      </c>
      <c r="H11" s="2" t="s">
        <v>136</v>
      </c>
      <c r="I11" s="2" t="s">
        <v>122</v>
      </c>
    </row>
    <row r="12" spans="1:10" x14ac:dyDescent="0.2">
      <c r="A12" s="2" t="s">
        <v>3</v>
      </c>
      <c r="B12" s="4">
        <v>11</v>
      </c>
      <c r="C12" s="2" t="s">
        <v>205</v>
      </c>
      <c r="E12" s="2" t="s">
        <v>200</v>
      </c>
      <c r="F12" s="2" t="s">
        <v>201</v>
      </c>
      <c r="G12" s="2" t="s">
        <v>202</v>
      </c>
      <c r="H12" s="2" t="s">
        <v>203</v>
      </c>
      <c r="I12" s="2" t="s">
        <v>204</v>
      </c>
    </row>
    <row r="13" spans="1:10" x14ac:dyDescent="0.2">
      <c r="A13" s="2" t="s">
        <v>3</v>
      </c>
      <c r="B13" s="4">
        <v>12</v>
      </c>
      <c r="E13" s="2" t="s">
        <v>206</v>
      </c>
      <c r="F13" s="2" t="s">
        <v>207</v>
      </c>
      <c r="G13" s="2" t="s">
        <v>208</v>
      </c>
      <c r="H13" s="2" t="s">
        <v>209</v>
      </c>
      <c r="I13" s="2" t="s">
        <v>210</v>
      </c>
    </row>
    <row r="14" spans="1:10" x14ac:dyDescent="0.2">
      <c r="A14" s="2" t="s">
        <v>3</v>
      </c>
      <c r="B14" s="4">
        <v>13</v>
      </c>
      <c r="E14" s="2" t="s">
        <v>211</v>
      </c>
      <c r="F14" s="2" t="s">
        <v>212</v>
      </c>
      <c r="G14" s="2" t="s">
        <v>213</v>
      </c>
      <c r="H14" s="2" t="s">
        <v>214</v>
      </c>
      <c r="I14" s="2" t="s">
        <v>215</v>
      </c>
    </row>
    <row r="15" spans="1:10" x14ac:dyDescent="0.2">
      <c r="A15" s="2" t="s">
        <v>3</v>
      </c>
      <c r="B15" s="4">
        <v>14</v>
      </c>
      <c r="E15" s="2" t="s">
        <v>216</v>
      </c>
      <c r="F15" s="2" t="s">
        <v>154</v>
      </c>
      <c r="G15" s="2" t="s">
        <v>108</v>
      </c>
      <c r="H15" s="2" t="s">
        <v>109</v>
      </c>
      <c r="I15" s="2" t="s">
        <v>139</v>
      </c>
    </row>
    <row r="16" spans="1:10" x14ac:dyDescent="0.2">
      <c r="A16" s="2" t="s">
        <v>3</v>
      </c>
      <c r="B16" s="4">
        <v>15</v>
      </c>
      <c r="C16" s="2" t="s">
        <v>110</v>
      </c>
      <c r="E16" s="2" t="s">
        <v>217</v>
      </c>
      <c r="F16" s="2" t="s">
        <v>218</v>
      </c>
      <c r="G16" s="2" t="s">
        <v>219</v>
      </c>
      <c r="H16" s="2" t="s">
        <v>220</v>
      </c>
      <c r="I16" s="2" t="s">
        <v>221</v>
      </c>
    </row>
    <row r="17" spans="1:9" x14ac:dyDescent="0.2">
      <c r="A17" s="2" t="s">
        <v>3</v>
      </c>
      <c r="B17" s="4">
        <v>16</v>
      </c>
      <c r="E17" s="2" t="s">
        <v>222</v>
      </c>
      <c r="F17" s="2" t="s">
        <v>223</v>
      </c>
      <c r="G17" s="2" t="s">
        <v>224</v>
      </c>
      <c r="H17" s="2" t="s">
        <v>225</v>
      </c>
      <c r="I17" s="2" t="s">
        <v>226</v>
      </c>
    </row>
    <row r="18" spans="1:9" x14ac:dyDescent="0.2">
      <c r="A18" s="2" t="s">
        <v>3</v>
      </c>
      <c r="B18" s="4">
        <v>17</v>
      </c>
      <c r="E18" s="2" t="s">
        <v>227</v>
      </c>
      <c r="F18" s="2" t="s">
        <v>228</v>
      </c>
      <c r="G18" s="2" t="s">
        <v>229</v>
      </c>
      <c r="H18" s="2" t="s">
        <v>230</v>
      </c>
      <c r="I18" s="2" t="s">
        <v>231</v>
      </c>
    </row>
    <row r="19" spans="1:9" x14ac:dyDescent="0.2">
      <c r="A19" s="2" t="s">
        <v>3</v>
      </c>
      <c r="B19" s="4">
        <v>18</v>
      </c>
      <c r="E19" s="2" t="s">
        <v>232</v>
      </c>
      <c r="F19" s="2" t="s">
        <v>233</v>
      </c>
      <c r="G19" s="2" t="s">
        <v>234</v>
      </c>
      <c r="H19" s="2" t="s">
        <v>235</v>
      </c>
      <c r="I19" s="2" t="s">
        <v>236</v>
      </c>
    </row>
    <row r="20" spans="1:9" x14ac:dyDescent="0.2">
      <c r="A20" s="2" t="s">
        <v>3</v>
      </c>
      <c r="B20" s="4">
        <v>19</v>
      </c>
      <c r="E20" s="2" t="s">
        <v>237</v>
      </c>
      <c r="F20" s="2" t="s">
        <v>238</v>
      </c>
      <c r="G20" s="2" t="s">
        <v>239</v>
      </c>
      <c r="H20" s="2" t="s">
        <v>240</v>
      </c>
      <c r="I20" s="2" t="s">
        <v>241</v>
      </c>
    </row>
    <row r="21" spans="1:9" x14ac:dyDescent="0.2">
      <c r="A21" s="2" t="s">
        <v>3</v>
      </c>
      <c r="B21" s="4">
        <v>20</v>
      </c>
      <c r="E21" s="2" t="s">
        <v>242</v>
      </c>
      <c r="F21" s="2" t="s">
        <v>243</v>
      </c>
      <c r="G21" s="2" t="s">
        <v>244</v>
      </c>
      <c r="H21" s="2" t="s">
        <v>245</v>
      </c>
      <c r="I21" s="2" t="s">
        <v>246</v>
      </c>
    </row>
    <row r="22" spans="1:9" x14ac:dyDescent="0.2">
      <c r="A22" s="2" t="s">
        <v>3</v>
      </c>
      <c r="B22" s="4">
        <v>21</v>
      </c>
      <c r="C22" s="2" t="s">
        <v>252</v>
      </c>
      <c r="E22" s="2" t="s">
        <v>247</v>
      </c>
      <c r="F22" s="2" t="s">
        <v>248</v>
      </c>
      <c r="G22" s="2" t="s">
        <v>249</v>
      </c>
      <c r="H22" s="2" t="s">
        <v>250</v>
      </c>
      <c r="I22" s="2" t="s">
        <v>251</v>
      </c>
    </row>
    <row r="23" spans="1:9" x14ac:dyDescent="0.2">
      <c r="A23" s="2" t="s">
        <v>3</v>
      </c>
      <c r="B23" s="4">
        <v>22</v>
      </c>
      <c r="E23" s="2" t="s">
        <v>253</v>
      </c>
      <c r="F23" s="2" t="s">
        <v>254</v>
      </c>
      <c r="G23" s="2" t="s">
        <v>255</v>
      </c>
      <c r="H23" s="2" t="s">
        <v>256</v>
      </c>
      <c r="I23" s="2" t="s">
        <v>257</v>
      </c>
    </row>
    <row r="24" spans="1:9" x14ac:dyDescent="0.2">
      <c r="A24" s="2" t="s">
        <v>3</v>
      </c>
      <c r="B24" s="4">
        <v>23</v>
      </c>
      <c r="E24" s="2" t="s">
        <v>258</v>
      </c>
      <c r="F24" s="2" t="s">
        <v>259</v>
      </c>
      <c r="G24" s="2" t="s">
        <v>260</v>
      </c>
      <c r="H24" s="2" t="s">
        <v>261</v>
      </c>
      <c r="I24" s="2" t="s">
        <v>262</v>
      </c>
    </row>
    <row r="25" spans="1:9" x14ac:dyDescent="0.2">
      <c r="A25" s="2" t="s">
        <v>3</v>
      </c>
      <c r="B25" s="4">
        <v>24</v>
      </c>
      <c r="E25" s="2" t="s">
        <v>263</v>
      </c>
      <c r="F25" s="2" t="s">
        <v>264</v>
      </c>
      <c r="G25" s="2" t="s">
        <v>265</v>
      </c>
      <c r="H25" s="2" t="s">
        <v>266</v>
      </c>
      <c r="I25" s="2" t="s">
        <v>267</v>
      </c>
    </row>
    <row r="26" spans="1:9" x14ac:dyDescent="0.2">
      <c r="A26" s="2" t="s">
        <v>3</v>
      </c>
      <c r="B26" s="4">
        <v>25</v>
      </c>
      <c r="E26" s="2" t="s">
        <v>268</v>
      </c>
      <c r="F26" s="2" t="s">
        <v>103</v>
      </c>
      <c r="G26" s="2" t="s">
        <v>103</v>
      </c>
      <c r="H26" s="2" t="s">
        <v>103</v>
      </c>
      <c r="I26" s="2" t="s">
        <v>103</v>
      </c>
    </row>
    <row r="27" spans="1:9" x14ac:dyDescent="0.2">
      <c r="A27" s="2" t="s">
        <v>3</v>
      </c>
      <c r="B27" s="4">
        <v>26</v>
      </c>
      <c r="C27" s="2" t="s">
        <v>271</v>
      </c>
      <c r="E27" s="2" t="s">
        <v>269</v>
      </c>
      <c r="F27" s="2" t="s">
        <v>121</v>
      </c>
      <c r="G27" s="2" t="s">
        <v>122</v>
      </c>
      <c r="H27" s="2" t="s">
        <v>123</v>
      </c>
      <c r="I27" s="2" t="s">
        <v>270</v>
      </c>
    </row>
    <row r="28" spans="1:9" x14ac:dyDescent="0.2">
      <c r="A28" s="2" t="s">
        <v>3</v>
      </c>
      <c r="B28" s="4">
        <v>27</v>
      </c>
      <c r="E28" s="2" t="s">
        <v>272</v>
      </c>
      <c r="F28" s="2" t="s">
        <v>273</v>
      </c>
      <c r="G28" s="2" t="s">
        <v>274</v>
      </c>
      <c r="H28" s="2" t="s">
        <v>275</v>
      </c>
      <c r="I28" s="2" t="s">
        <v>276</v>
      </c>
    </row>
    <row r="29" spans="1:9" x14ac:dyDescent="0.2">
      <c r="A29" s="2" t="s">
        <v>3</v>
      </c>
      <c r="B29" s="4">
        <v>28</v>
      </c>
      <c r="E29" s="2" t="s">
        <v>277</v>
      </c>
      <c r="F29" s="2" t="s">
        <v>278</v>
      </c>
      <c r="G29" s="2" t="s">
        <v>279</v>
      </c>
      <c r="H29" s="2" t="s">
        <v>280</v>
      </c>
      <c r="I29" s="2" t="s">
        <v>281</v>
      </c>
    </row>
    <row r="30" spans="1:9" x14ac:dyDescent="0.2">
      <c r="A30" s="2" t="s">
        <v>3</v>
      </c>
      <c r="B30" s="4">
        <v>29</v>
      </c>
      <c r="E30" s="2" t="s">
        <v>282</v>
      </c>
      <c r="F30" s="2" t="s">
        <v>283</v>
      </c>
      <c r="G30" s="2" t="s">
        <v>284</v>
      </c>
      <c r="H30" s="2" t="s">
        <v>285</v>
      </c>
      <c r="I30" s="2" t="s">
        <v>286</v>
      </c>
    </row>
    <row r="31" spans="1:9" x14ac:dyDescent="0.2">
      <c r="A31" s="2" t="s">
        <v>3</v>
      </c>
      <c r="B31" s="4">
        <v>30</v>
      </c>
      <c r="C31" s="2" t="s">
        <v>110</v>
      </c>
      <c r="E31" s="2" t="s">
        <v>287</v>
      </c>
      <c r="F31" s="2" t="s">
        <v>288</v>
      </c>
      <c r="G31" s="2" t="s">
        <v>289</v>
      </c>
      <c r="H31" s="2" t="s">
        <v>290</v>
      </c>
      <c r="I31" s="2" t="s">
        <v>291</v>
      </c>
    </row>
    <row r="32" spans="1:9" x14ac:dyDescent="0.2">
      <c r="A32" s="2" t="s">
        <v>3</v>
      </c>
      <c r="B32" s="4">
        <v>31</v>
      </c>
      <c r="E32" s="2" t="s">
        <v>292</v>
      </c>
      <c r="F32" s="2" t="s">
        <v>293</v>
      </c>
      <c r="G32" s="2" t="s">
        <v>294</v>
      </c>
      <c r="H32" s="2" t="s">
        <v>295</v>
      </c>
      <c r="I32" s="2" t="s">
        <v>296</v>
      </c>
    </row>
    <row r="33" spans="1:9" x14ac:dyDescent="0.2">
      <c r="A33" s="2" t="s">
        <v>3</v>
      </c>
      <c r="B33" s="4">
        <v>32</v>
      </c>
      <c r="E33" s="2" t="s">
        <v>297</v>
      </c>
      <c r="F33" s="2" t="s">
        <v>298</v>
      </c>
      <c r="G33" s="2" t="s">
        <v>145</v>
      </c>
      <c r="H33" s="2" t="s">
        <v>157</v>
      </c>
      <c r="I33" s="2" t="s">
        <v>299</v>
      </c>
    </row>
    <row r="34" spans="1:9" x14ac:dyDescent="0.2">
      <c r="A34" s="2" t="s">
        <v>3</v>
      </c>
      <c r="B34" s="4">
        <v>33</v>
      </c>
      <c r="E34" s="2" t="s">
        <v>300</v>
      </c>
      <c r="F34" s="2" t="s">
        <v>301</v>
      </c>
      <c r="G34" s="2" t="s">
        <v>302</v>
      </c>
      <c r="H34" s="2" t="s">
        <v>303</v>
      </c>
      <c r="I34" s="2" t="s">
        <v>304</v>
      </c>
    </row>
    <row r="35" spans="1:9" x14ac:dyDescent="0.2">
      <c r="A35" s="2" t="s">
        <v>3</v>
      </c>
      <c r="B35" s="4">
        <v>34</v>
      </c>
      <c r="E35" s="2" t="s">
        <v>305</v>
      </c>
      <c r="F35" s="2" t="s">
        <v>306</v>
      </c>
      <c r="G35" s="2" t="s">
        <v>307</v>
      </c>
      <c r="H35" s="2" t="s">
        <v>308</v>
      </c>
      <c r="I35" s="2" t="s">
        <v>309</v>
      </c>
    </row>
    <row r="36" spans="1:9" x14ac:dyDescent="0.2">
      <c r="A36" s="2" t="s">
        <v>3</v>
      </c>
      <c r="B36" s="4">
        <v>35</v>
      </c>
      <c r="E36" s="2" t="s">
        <v>310</v>
      </c>
      <c r="F36" s="2" t="s">
        <v>311</v>
      </c>
      <c r="G36" s="2" t="s">
        <v>312</v>
      </c>
      <c r="H36" s="2" t="s">
        <v>313</v>
      </c>
      <c r="I36" s="2" t="s">
        <v>314</v>
      </c>
    </row>
    <row r="37" spans="1:9" x14ac:dyDescent="0.2">
      <c r="A37" s="2" t="s">
        <v>3</v>
      </c>
      <c r="B37" s="4">
        <v>36</v>
      </c>
      <c r="C37" s="2" t="s">
        <v>316</v>
      </c>
      <c r="E37" s="2" t="s">
        <v>315</v>
      </c>
      <c r="F37" s="2" t="s">
        <v>104</v>
      </c>
      <c r="G37" s="2" t="s">
        <v>99</v>
      </c>
      <c r="H37" s="2" t="s">
        <v>106</v>
      </c>
      <c r="I37" s="2" t="s">
        <v>102</v>
      </c>
    </row>
    <row r="38" spans="1:9" x14ac:dyDescent="0.2">
      <c r="A38" s="2" t="s">
        <v>3</v>
      </c>
      <c r="B38" s="4">
        <v>37</v>
      </c>
      <c r="E38" s="2" t="s">
        <v>317</v>
      </c>
      <c r="F38" s="2" t="s">
        <v>318</v>
      </c>
      <c r="G38" s="2" t="s">
        <v>319</v>
      </c>
      <c r="H38" s="2" t="s">
        <v>320</v>
      </c>
      <c r="I38" s="2" t="s">
        <v>321</v>
      </c>
    </row>
    <row r="39" spans="1:9" x14ac:dyDescent="0.2">
      <c r="A39" s="2" t="s">
        <v>3</v>
      </c>
      <c r="B39" s="4">
        <v>38</v>
      </c>
      <c r="E39" s="2" t="s">
        <v>322</v>
      </c>
      <c r="F39" s="2" t="s">
        <v>323</v>
      </c>
      <c r="G39" s="2" t="s">
        <v>324</v>
      </c>
      <c r="H39" s="2" t="s">
        <v>325</v>
      </c>
      <c r="I39" s="2" t="s">
        <v>326</v>
      </c>
    </row>
    <row r="40" spans="1:9" x14ac:dyDescent="0.2">
      <c r="A40" s="2" t="s">
        <v>3</v>
      </c>
      <c r="B40" s="4">
        <v>39</v>
      </c>
      <c r="E40" s="2" t="s">
        <v>327</v>
      </c>
      <c r="F40" s="2" t="s">
        <v>328</v>
      </c>
      <c r="G40" s="2" t="s">
        <v>329</v>
      </c>
      <c r="H40" s="2" t="s">
        <v>330</v>
      </c>
      <c r="I40" s="2" t="s">
        <v>331</v>
      </c>
    </row>
    <row r="41" spans="1:9" x14ac:dyDescent="0.2">
      <c r="A41" s="2" t="s">
        <v>3</v>
      </c>
      <c r="B41" s="4">
        <v>40</v>
      </c>
      <c r="E41" s="2" t="s">
        <v>332</v>
      </c>
      <c r="F41" s="2" t="s">
        <v>333</v>
      </c>
      <c r="G41" s="2" t="s">
        <v>334</v>
      </c>
      <c r="H41" s="2" t="s">
        <v>335</v>
      </c>
      <c r="I41" s="2" t="s">
        <v>336</v>
      </c>
    </row>
    <row r="42" spans="1:9" x14ac:dyDescent="0.2">
      <c r="A42" s="2" t="s">
        <v>3</v>
      </c>
      <c r="B42" s="4">
        <v>41</v>
      </c>
      <c r="E42" s="2" t="s">
        <v>337</v>
      </c>
      <c r="F42" s="2" t="s">
        <v>338</v>
      </c>
      <c r="G42" s="2" t="s">
        <v>339</v>
      </c>
      <c r="H42" s="2" t="s">
        <v>340</v>
      </c>
      <c r="I42" s="2" t="s">
        <v>341</v>
      </c>
    </row>
    <row r="43" spans="1:9" x14ac:dyDescent="0.2">
      <c r="A43" s="2" t="s">
        <v>3</v>
      </c>
      <c r="B43" s="4">
        <v>42</v>
      </c>
      <c r="C43" s="2" t="s">
        <v>347</v>
      </c>
      <c r="E43" s="2" t="s">
        <v>342</v>
      </c>
      <c r="F43" s="2" t="s">
        <v>343</v>
      </c>
      <c r="G43" s="2" t="s">
        <v>344</v>
      </c>
      <c r="H43" s="2" t="s">
        <v>345</v>
      </c>
      <c r="I43" s="2" t="s">
        <v>346</v>
      </c>
    </row>
    <row r="44" spans="1:9" x14ac:dyDescent="0.2">
      <c r="A44" s="2" t="s">
        <v>3</v>
      </c>
      <c r="B44" s="4">
        <v>43</v>
      </c>
      <c r="E44" s="2" t="s">
        <v>348</v>
      </c>
      <c r="F44" s="2" t="s">
        <v>349</v>
      </c>
      <c r="G44" s="2" t="s">
        <v>350</v>
      </c>
      <c r="H44" s="2" t="s">
        <v>351</v>
      </c>
      <c r="I44" s="2" t="s">
        <v>352</v>
      </c>
    </row>
    <row r="45" spans="1:9" x14ac:dyDescent="0.2">
      <c r="A45" s="2" t="s">
        <v>3</v>
      </c>
      <c r="B45" s="4">
        <v>44</v>
      </c>
      <c r="E45" s="2" t="s">
        <v>353</v>
      </c>
      <c r="F45" s="2" t="s">
        <v>354</v>
      </c>
      <c r="G45" s="2" t="s">
        <v>355</v>
      </c>
      <c r="H45" s="2" t="s">
        <v>356</v>
      </c>
      <c r="I45" s="2" t="s">
        <v>357</v>
      </c>
    </row>
    <row r="46" spans="1:9" x14ac:dyDescent="0.2">
      <c r="A46" s="2" t="s">
        <v>3</v>
      </c>
      <c r="B46" s="4">
        <v>45</v>
      </c>
      <c r="E46" s="2" t="s">
        <v>358</v>
      </c>
      <c r="F46" s="2" t="s">
        <v>359</v>
      </c>
      <c r="G46" s="2" t="s">
        <v>360</v>
      </c>
      <c r="H46" s="2" t="s">
        <v>361</v>
      </c>
      <c r="I46" s="2" t="s">
        <v>362</v>
      </c>
    </row>
    <row r="47" spans="1:9" x14ac:dyDescent="0.2">
      <c r="A47" s="2" t="s">
        <v>3</v>
      </c>
      <c r="B47" s="4">
        <v>46</v>
      </c>
      <c r="E47" s="2" t="s">
        <v>363</v>
      </c>
      <c r="F47" s="2" t="s">
        <v>364</v>
      </c>
      <c r="G47" s="2" t="s">
        <v>365</v>
      </c>
      <c r="H47" s="2" t="s">
        <v>366</v>
      </c>
      <c r="I47" s="2" t="s">
        <v>367</v>
      </c>
    </row>
    <row r="48" spans="1:9" x14ac:dyDescent="0.2">
      <c r="A48" s="2" t="s">
        <v>3</v>
      </c>
      <c r="B48" s="4">
        <v>47</v>
      </c>
      <c r="C48" s="2" t="s">
        <v>373</v>
      </c>
      <c r="E48" s="2" t="s">
        <v>368</v>
      </c>
      <c r="F48" s="2" t="s">
        <v>369</v>
      </c>
      <c r="G48" s="2" t="s">
        <v>370</v>
      </c>
      <c r="H48" s="2" t="s">
        <v>371</v>
      </c>
      <c r="I48" s="2" t="s">
        <v>372</v>
      </c>
    </row>
    <row r="49" spans="1:9" x14ac:dyDescent="0.2">
      <c r="A49" s="2" t="s">
        <v>3</v>
      </c>
      <c r="B49" s="4">
        <v>48</v>
      </c>
      <c r="E49" s="2" t="s">
        <v>374</v>
      </c>
      <c r="F49" s="2" t="s">
        <v>120</v>
      </c>
      <c r="G49" s="2" t="s">
        <v>375</v>
      </c>
      <c r="H49" s="2" t="s">
        <v>122</v>
      </c>
      <c r="I49" s="2" t="s">
        <v>123</v>
      </c>
    </row>
    <row r="50" spans="1:9" x14ac:dyDescent="0.2">
      <c r="A50" s="2" t="s">
        <v>3</v>
      </c>
      <c r="B50" s="4">
        <v>49</v>
      </c>
      <c r="E50" s="2" t="s">
        <v>376</v>
      </c>
      <c r="F50" s="2" t="s">
        <v>377</v>
      </c>
      <c r="G50" s="2" t="s">
        <v>155</v>
      </c>
      <c r="H50" s="2" t="s">
        <v>156</v>
      </c>
      <c r="I50" s="2" t="s">
        <v>378</v>
      </c>
    </row>
    <row r="51" spans="1:9" x14ac:dyDescent="0.2">
      <c r="A51" s="2" t="s">
        <v>3</v>
      </c>
      <c r="B51" s="4">
        <v>50</v>
      </c>
      <c r="E51" s="2" t="s">
        <v>379</v>
      </c>
      <c r="F51" s="2" t="s">
        <v>380</v>
      </c>
      <c r="G51" s="2" t="s">
        <v>381</v>
      </c>
      <c r="H51" s="2" t="s">
        <v>382</v>
      </c>
      <c r="I51" s="2" t="s">
        <v>383</v>
      </c>
    </row>
    <row r="52" spans="1:9" x14ac:dyDescent="0.2">
      <c r="A52" s="2" t="s">
        <v>3</v>
      </c>
      <c r="B52" s="4">
        <v>51</v>
      </c>
      <c r="E52" s="2" t="s">
        <v>384</v>
      </c>
      <c r="F52" s="2" t="s">
        <v>385</v>
      </c>
      <c r="G52" s="2" t="s">
        <v>386</v>
      </c>
      <c r="H52" s="2" t="s">
        <v>387</v>
      </c>
      <c r="I52" s="2" t="s">
        <v>388</v>
      </c>
    </row>
    <row r="53" spans="1:9" x14ac:dyDescent="0.2">
      <c r="A53" s="2" t="s">
        <v>3</v>
      </c>
      <c r="B53" s="4">
        <v>52</v>
      </c>
      <c r="C53" s="2" t="s">
        <v>110</v>
      </c>
      <c r="E53" s="2" t="s">
        <v>389</v>
      </c>
      <c r="F53" s="2" t="s">
        <v>390</v>
      </c>
      <c r="G53" s="2" t="s">
        <v>391</v>
      </c>
      <c r="H53" s="2" t="s">
        <v>392</v>
      </c>
      <c r="I53" s="2" t="s">
        <v>393</v>
      </c>
    </row>
    <row r="54" spans="1:9" x14ac:dyDescent="0.2">
      <c r="A54" s="2" t="s">
        <v>4</v>
      </c>
      <c r="B54" s="4">
        <v>1</v>
      </c>
      <c r="E54" s="2" t="s">
        <v>394</v>
      </c>
      <c r="F54" s="2" t="s">
        <v>395</v>
      </c>
      <c r="G54" s="2" t="s">
        <v>396</v>
      </c>
      <c r="H54" s="2" t="s">
        <v>397</v>
      </c>
      <c r="I54" s="2" t="s">
        <v>398</v>
      </c>
    </row>
    <row r="55" spans="1:9" x14ac:dyDescent="0.2">
      <c r="A55" s="2" t="s">
        <v>4</v>
      </c>
      <c r="B55" s="4">
        <v>2</v>
      </c>
      <c r="E55" s="2" t="s">
        <v>399</v>
      </c>
      <c r="F55" s="2" t="s">
        <v>400</v>
      </c>
      <c r="G55" s="2" t="s">
        <v>401</v>
      </c>
      <c r="H55" s="2" t="s">
        <v>402</v>
      </c>
      <c r="I55" s="2" t="s">
        <v>403</v>
      </c>
    </row>
    <row r="56" spans="1:9" x14ac:dyDescent="0.2">
      <c r="A56" s="2" t="s">
        <v>4</v>
      </c>
      <c r="B56" s="4">
        <v>3</v>
      </c>
      <c r="E56" s="2" t="s">
        <v>404</v>
      </c>
      <c r="F56" s="2" t="s">
        <v>405</v>
      </c>
      <c r="G56" s="2" t="s">
        <v>406</v>
      </c>
      <c r="H56" s="2" t="s">
        <v>407</v>
      </c>
      <c r="I56" s="2" t="s">
        <v>408</v>
      </c>
    </row>
    <row r="57" spans="1:9" x14ac:dyDescent="0.2">
      <c r="A57" s="2" t="s">
        <v>4</v>
      </c>
      <c r="B57" s="4">
        <v>4</v>
      </c>
      <c r="E57" s="2" t="s">
        <v>409</v>
      </c>
      <c r="F57" s="2" t="s">
        <v>410</v>
      </c>
      <c r="G57" s="2" t="s">
        <v>411</v>
      </c>
      <c r="H57" s="2" t="s">
        <v>412</v>
      </c>
      <c r="I57" s="2" t="s">
        <v>413</v>
      </c>
    </row>
    <row r="58" spans="1:9" x14ac:dyDescent="0.2">
      <c r="A58" s="2" t="s">
        <v>4</v>
      </c>
      <c r="B58" s="4">
        <v>5</v>
      </c>
      <c r="E58" s="2" t="s">
        <v>414</v>
      </c>
      <c r="F58" s="2" t="s">
        <v>415</v>
      </c>
      <c r="G58" s="2" t="s">
        <v>416</v>
      </c>
      <c r="H58" s="2" t="s">
        <v>417</v>
      </c>
      <c r="I58" s="2" t="s">
        <v>418</v>
      </c>
    </row>
    <row r="59" spans="1:9" x14ac:dyDescent="0.2">
      <c r="A59" s="2" t="s">
        <v>4</v>
      </c>
      <c r="B59" s="4">
        <v>6</v>
      </c>
      <c r="C59" s="2" t="s">
        <v>424</v>
      </c>
      <c r="E59" s="2" t="s">
        <v>419</v>
      </c>
      <c r="F59" s="2" t="s">
        <v>420</v>
      </c>
      <c r="G59" s="2" t="s">
        <v>421</v>
      </c>
      <c r="H59" s="2" t="s">
        <v>422</v>
      </c>
      <c r="I59" s="2" t="s">
        <v>423</v>
      </c>
    </row>
    <row r="60" spans="1:9" x14ac:dyDescent="0.2">
      <c r="A60" s="2" t="s">
        <v>4</v>
      </c>
      <c r="B60" s="4">
        <v>7</v>
      </c>
      <c r="E60" s="2" t="s">
        <v>425</v>
      </c>
      <c r="F60" s="2" t="s">
        <v>426</v>
      </c>
      <c r="G60" s="2" t="s">
        <v>427</v>
      </c>
      <c r="H60" s="2" t="s">
        <v>428</v>
      </c>
      <c r="I60" s="2" t="s">
        <v>429</v>
      </c>
    </row>
    <row r="61" spans="1:9" x14ac:dyDescent="0.2">
      <c r="A61" s="2" t="s">
        <v>4</v>
      </c>
      <c r="B61" s="4">
        <v>8</v>
      </c>
      <c r="E61" s="2" t="s">
        <v>430</v>
      </c>
      <c r="F61" s="2" t="s">
        <v>431</v>
      </c>
      <c r="G61" s="2" t="s">
        <v>432</v>
      </c>
      <c r="H61" s="2" t="s">
        <v>433</v>
      </c>
      <c r="I61" s="2" t="s">
        <v>434</v>
      </c>
    </row>
    <row r="62" spans="1:9" x14ac:dyDescent="0.2">
      <c r="A62" s="2" t="s">
        <v>4</v>
      </c>
      <c r="B62" s="4">
        <v>9</v>
      </c>
      <c r="E62" s="2" t="s">
        <v>435</v>
      </c>
      <c r="F62" s="2" t="s">
        <v>436</v>
      </c>
      <c r="G62" s="2" t="s">
        <v>437</v>
      </c>
      <c r="H62" s="2" t="s">
        <v>438</v>
      </c>
      <c r="I62" s="2" t="s">
        <v>439</v>
      </c>
    </row>
    <row r="63" spans="1:9" x14ac:dyDescent="0.2">
      <c r="A63" s="2" t="s">
        <v>4</v>
      </c>
      <c r="B63" s="4">
        <v>10</v>
      </c>
      <c r="E63" s="2" t="s">
        <v>440</v>
      </c>
      <c r="F63" s="2" t="s">
        <v>441</v>
      </c>
      <c r="G63" s="2" t="s">
        <v>442</v>
      </c>
      <c r="H63" s="2" t="s">
        <v>443</v>
      </c>
      <c r="I63" s="2" t="s">
        <v>444</v>
      </c>
    </row>
    <row r="64" spans="1:9" x14ac:dyDescent="0.2">
      <c r="A64" s="2" t="s">
        <v>4</v>
      </c>
      <c r="B64" s="4">
        <v>11</v>
      </c>
      <c r="E64" s="2" t="s">
        <v>445</v>
      </c>
      <c r="F64" s="2" t="s">
        <v>446</v>
      </c>
      <c r="G64" s="2" t="s">
        <v>447</v>
      </c>
      <c r="H64" s="2" t="s">
        <v>448</v>
      </c>
      <c r="I64" s="2" t="s">
        <v>449</v>
      </c>
    </row>
    <row r="65" spans="1:9" x14ac:dyDescent="0.2">
      <c r="A65" s="2" t="s">
        <v>4</v>
      </c>
      <c r="B65" s="4">
        <v>12</v>
      </c>
      <c r="C65" s="2" t="s">
        <v>455</v>
      </c>
      <c r="E65" s="2" t="s">
        <v>450</v>
      </c>
      <c r="F65" s="2" t="s">
        <v>451</v>
      </c>
      <c r="G65" s="2" t="s">
        <v>452</v>
      </c>
      <c r="H65" s="2" t="s">
        <v>453</v>
      </c>
      <c r="I65" s="2" t="s">
        <v>454</v>
      </c>
    </row>
    <row r="66" spans="1:9" x14ac:dyDescent="0.2">
      <c r="A66" s="2" t="s">
        <v>4</v>
      </c>
      <c r="B66" s="4">
        <v>13</v>
      </c>
      <c r="E66" s="2" t="s">
        <v>456</v>
      </c>
      <c r="F66" s="2" t="s">
        <v>457</v>
      </c>
      <c r="G66" s="2" t="s">
        <v>458</v>
      </c>
      <c r="H66" s="2" t="s">
        <v>459</v>
      </c>
      <c r="I66" s="2" t="s">
        <v>460</v>
      </c>
    </row>
    <row r="67" spans="1:9" x14ac:dyDescent="0.2">
      <c r="A67" s="2" t="s">
        <v>4</v>
      </c>
      <c r="B67" s="4">
        <v>14</v>
      </c>
      <c r="E67" s="2" t="s">
        <v>461</v>
      </c>
      <c r="F67" s="2" t="s">
        <v>462</v>
      </c>
      <c r="G67" s="2" t="s">
        <v>463</v>
      </c>
      <c r="H67" s="2" t="s">
        <v>464</v>
      </c>
      <c r="I67" s="2" t="s">
        <v>465</v>
      </c>
    </row>
    <row r="68" spans="1:9" x14ac:dyDescent="0.2">
      <c r="A68" s="2" t="s">
        <v>4</v>
      </c>
      <c r="B68" s="4">
        <v>15</v>
      </c>
      <c r="E68" s="2" t="s">
        <v>466</v>
      </c>
      <c r="F68" s="2" t="s">
        <v>467</v>
      </c>
      <c r="G68" s="2" t="s">
        <v>468</v>
      </c>
      <c r="H68" s="2" t="s">
        <v>469</v>
      </c>
      <c r="I68" s="2" t="s">
        <v>470</v>
      </c>
    </row>
    <row r="69" spans="1:9" x14ac:dyDescent="0.2">
      <c r="A69" s="2" t="s">
        <v>4</v>
      </c>
      <c r="B69" s="4">
        <v>16</v>
      </c>
      <c r="E69" s="2" t="s">
        <v>471</v>
      </c>
      <c r="F69" s="2" t="s">
        <v>104</v>
      </c>
      <c r="G69" s="2" t="s">
        <v>105</v>
      </c>
      <c r="H69" s="2" t="s">
        <v>106</v>
      </c>
      <c r="I69" s="2" t="s">
        <v>99</v>
      </c>
    </row>
    <row r="70" spans="1:9" x14ac:dyDescent="0.2">
      <c r="A70" s="2" t="s">
        <v>4</v>
      </c>
      <c r="B70" s="4">
        <v>17</v>
      </c>
      <c r="C70" s="2" t="s">
        <v>477</v>
      </c>
      <c r="E70" s="2" t="s">
        <v>472</v>
      </c>
      <c r="F70" s="2" t="s">
        <v>473</v>
      </c>
      <c r="G70" s="2" t="s">
        <v>474</v>
      </c>
      <c r="H70" s="2" t="s">
        <v>475</v>
      </c>
      <c r="I70" s="2" t="s">
        <v>476</v>
      </c>
    </row>
    <row r="71" spans="1:9" x14ac:dyDescent="0.2">
      <c r="A71" s="2" t="s">
        <v>4</v>
      </c>
      <c r="B71" s="4">
        <v>18</v>
      </c>
      <c r="E71" s="2" t="s">
        <v>478</v>
      </c>
      <c r="F71" s="2" t="s">
        <v>479</v>
      </c>
      <c r="G71" s="2" t="s">
        <v>480</v>
      </c>
      <c r="H71" s="2" t="s">
        <v>481</v>
      </c>
      <c r="I71" s="2" t="s">
        <v>482</v>
      </c>
    </row>
    <row r="72" spans="1:9" x14ac:dyDescent="0.2">
      <c r="A72" s="2" t="s">
        <v>4</v>
      </c>
      <c r="B72" s="4">
        <v>19</v>
      </c>
      <c r="E72" s="2" t="s">
        <v>483</v>
      </c>
      <c r="F72" s="2" t="s">
        <v>104</v>
      </c>
      <c r="G72" s="2" t="s">
        <v>99</v>
      </c>
      <c r="H72" s="2" t="s">
        <v>111</v>
      </c>
      <c r="I72" s="2" t="s">
        <v>101</v>
      </c>
    </row>
    <row r="73" spans="1:9" x14ac:dyDescent="0.2">
      <c r="A73" s="2" t="s">
        <v>4</v>
      </c>
      <c r="B73" s="4">
        <v>20</v>
      </c>
      <c r="E73" s="2" t="s">
        <v>484</v>
      </c>
      <c r="F73" s="2" t="s">
        <v>485</v>
      </c>
      <c r="G73" s="2" t="s">
        <v>486</v>
      </c>
      <c r="H73" s="2" t="s">
        <v>487</v>
      </c>
      <c r="I73" s="2" t="s">
        <v>488</v>
      </c>
    </row>
    <row r="74" spans="1:9" x14ac:dyDescent="0.2">
      <c r="A74" s="2" t="s">
        <v>4</v>
      </c>
      <c r="B74" s="4">
        <v>21</v>
      </c>
      <c r="E74" s="2" t="s">
        <v>489</v>
      </c>
      <c r="F74" s="2" t="s">
        <v>490</v>
      </c>
      <c r="G74" s="2" t="s">
        <v>491</v>
      </c>
      <c r="H74" s="2" t="s">
        <v>492</v>
      </c>
      <c r="I74" s="2" t="s">
        <v>493</v>
      </c>
    </row>
    <row r="75" spans="1:9" x14ac:dyDescent="0.2">
      <c r="A75" s="2" t="s">
        <v>4</v>
      </c>
      <c r="B75" s="4">
        <v>22</v>
      </c>
      <c r="E75" s="2" t="s">
        <v>494</v>
      </c>
      <c r="F75" s="2" t="s">
        <v>495</v>
      </c>
      <c r="G75" s="2" t="s">
        <v>496</v>
      </c>
      <c r="H75" s="2" t="s">
        <v>497</v>
      </c>
      <c r="I75" s="2" t="s">
        <v>498</v>
      </c>
    </row>
    <row r="76" spans="1:9" x14ac:dyDescent="0.2">
      <c r="A76" s="2" t="s">
        <v>4</v>
      </c>
      <c r="B76" s="4">
        <v>23</v>
      </c>
      <c r="E76" s="2" t="s">
        <v>499</v>
      </c>
      <c r="F76" s="2" t="s">
        <v>500</v>
      </c>
      <c r="G76" s="2" t="s">
        <v>501</v>
      </c>
      <c r="H76" s="2" t="s">
        <v>502</v>
      </c>
      <c r="I76" s="2" t="s">
        <v>503</v>
      </c>
    </row>
    <row r="77" spans="1:9" x14ac:dyDescent="0.2">
      <c r="A77" s="2" t="s">
        <v>4</v>
      </c>
      <c r="B77" s="4">
        <v>24</v>
      </c>
      <c r="C77" s="2" t="s">
        <v>509</v>
      </c>
      <c r="E77" s="2" t="s">
        <v>504</v>
      </c>
      <c r="F77" s="2" t="s">
        <v>505</v>
      </c>
      <c r="G77" s="2" t="s">
        <v>506</v>
      </c>
      <c r="H77" s="2" t="s">
        <v>507</v>
      </c>
      <c r="I77" s="2" t="s">
        <v>508</v>
      </c>
    </row>
    <row r="78" spans="1:9" x14ac:dyDescent="0.2">
      <c r="A78" s="2" t="s">
        <v>4</v>
      </c>
      <c r="B78" s="4">
        <v>25</v>
      </c>
      <c r="E78" s="2" t="s">
        <v>510</v>
      </c>
      <c r="F78" s="2" t="s">
        <v>106</v>
      </c>
      <c r="G78" s="2" t="s">
        <v>105</v>
      </c>
      <c r="H78" s="2" t="s">
        <v>104</v>
      </c>
      <c r="I78" s="2" t="s">
        <v>102</v>
      </c>
    </row>
    <row r="79" spans="1:9" x14ac:dyDescent="0.2">
      <c r="A79" s="2" t="s">
        <v>4</v>
      </c>
      <c r="B79" s="4">
        <v>26</v>
      </c>
      <c r="E79" s="2" t="s">
        <v>511</v>
      </c>
      <c r="F79" s="2" t="s">
        <v>512</v>
      </c>
      <c r="G79" s="2" t="s">
        <v>513</v>
      </c>
      <c r="H79" s="2" t="s">
        <v>514</v>
      </c>
      <c r="I79" s="2" t="s">
        <v>515</v>
      </c>
    </row>
    <row r="80" spans="1:9" x14ac:dyDescent="0.2">
      <c r="A80" s="2" t="s">
        <v>4</v>
      </c>
      <c r="B80" s="4">
        <v>27</v>
      </c>
      <c r="E80" s="2" t="s">
        <v>516</v>
      </c>
      <c r="F80" s="2" t="s">
        <v>104</v>
      </c>
      <c r="G80" s="2" t="s">
        <v>99</v>
      </c>
      <c r="H80" s="2" t="s">
        <v>100</v>
      </c>
      <c r="I80" s="2" t="s">
        <v>102</v>
      </c>
    </row>
    <row r="81" spans="1:9" x14ac:dyDescent="0.2">
      <c r="A81" s="2" t="s">
        <v>4</v>
      </c>
      <c r="B81" s="4">
        <v>28</v>
      </c>
      <c r="E81" s="2" t="s">
        <v>517</v>
      </c>
      <c r="F81" s="2" t="s">
        <v>518</v>
      </c>
      <c r="G81" s="2" t="s">
        <v>519</v>
      </c>
      <c r="H81" s="2" t="s">
        <v>520</v>
      </c>
      <c r="I81" s="2" t="s">
        <v>521</v>
      </c>
    </row>
    <row r="82" spans="1:9" x14ac:dyDescent="0.2">
      <c r="A82" s="2" t="s">
        <v>4</v>
      </c>
      <c r="B82" s="4">
        <v>29</v>
      </c>
      <c r="C82" s="2" t="s">
        <v>527</v>
      </c>
      <c r="E82" s="2" t="s">
        <v>522</v>
      </c>
      <c r="F82" s="2" t="s">
        <v>523</v>
      </c>
      <c r="G82" s="2" t="s">
        <v>524</v>
      </c>
      <c r="H82" s="2" t="s">
        <v>525</v>
      </c>
      <c r="I82" s="2" t="s">
        <v>526</v>
      </c>
    </row>
    <row r="83" spans="1:9" x14ac:dyDescent="0.2">
      <c r="A83" s="2" t="s">
        <v>4</v>
      </c>
      <c r="B83" s="4">
        <v>30</v>
      </c>
      <c r="E83" s="2" t="s">
        <v>528</v>
      </c>
      <c r="F83" s="2" t="s">
        <v>529</v>
      </c>
      <c r="G83" s="2" t="s">
        <v>530</v>
      </c>
      <c r="H83" s="2" t="s">
        <v>531</v>
      </c>
      <c r="I83" s="2" t="s">
        <v>532</v>
      </c>
    </row>
    <row r="84" spans="1:9" x14ac:dyDescent="0.2">
      <c r="A84" s="2" t="s">
        <v>4</v>
      </c>
      <c r="B84" s="4">
        <v>31</v>
      </c>
      <c r="E84" s="2" t="s">
        <v>533</v>
      </c>
      <c r="F84" s="2" t="s">
        <v>534</v>
      </c>
      <c r="G84" s="2" t="s">
        <v>535</v>
      </c>
      <c r="H84" s="2" t="s">
        <v>536</v>
      </c>
      <c r="I84" s="2" t="s">
        <v>537</v>
      </c>
    </row>
    <row r="85" spans="1:9" x14ac:dyDescent="0.2">
      <c r="A85" s="2" t="s">
        <v>4</v>
      </c>
      <c r="B85" s="4">
        <v>32</v>
      </c>
      <c r="E85" s="2" t="s">
        <v>538</v>
      </c>
      <c r="F85" s="2" t="s">
        <v>539</v>
      </c>
      <c r="G85" s="2" t="s">
        <v>540</v>
      </c>
      <c r="H85" s="2" t="s">
        <v>541</v>
      </c>
      <c r="I85" s="2" t="s">
        <v>542</v>
      </c>
    </row>
    <row r="86" spans="1:9" x14ac:dyDescent="0.2">
      <c r="A86" s="2" t="s">
        <v>4</v>
      </c>
      <c r="B86" s="4">
        <v>33</v>
      </c>
      <c r="E86" s="2" t="s">
        <v>543</v>
      </c>
      <c r="F86" s="2" t="s">
        <v>544</v>
      </c>
      <c r="G86" s="2" t="s">
        <v>545</v>
      </c>
      <c r="H86" s="2" t="s">
        <v>546</v>
      </c>
      <c r="I86" s="2" t="s">
        <v>547</v>
      </c>
    </row>
    <row r="87" spans="1:9" x14ac:dyDescent="0.2">
      <c r="A87" s="2" t="s">
        <v>4</v>
      </c>
      <c r="B87" s="4">
        <v>34</v>
      </c>
      <c r="C87" s="2" t="s">
        <v>553</v>
      </c>
      <c r="E87" s="2" t="s">
        <v>548</v>
      </c>
      <c r="F87" s="2" t="s">
        <v>549</v>
      </c>
      <c r="G87" s="2" t="s">
        <v>550</v>
      </c>
      <c r="H87" s="2" t="s">
        <v>551</v>
      </c>
      <c r="I87" s="2" t="s">
        <v>552</v>
      </c>
    </row>
    <row r="88" spans="1:9" x14ac:dyDescent="0.2">
      <c r="A88" s="2" t="s">
        <v>4</v>
      </c>
      <c r="B88" s="4">
        <v>35</v>
      </c>
      <c r="E88" s="2" t="s">
        <v>554</v>
      </c>
      <c r="F88" s="2" t="s">
        <v>555</v>
      </c>
      <c r="G88" s="2" t="s">
        <v>556</v>
      </c>
      <c r="H88" s="2" t="s">
        <v>557</v>
      </c>
      <c r="I88" s="2" t="s">
        <v>558</v>
      </c>
    </row>
    <row r="89" spans="1:9" x14ac:dyDescent="0.2">
      <c r="A89" s="2" t="s">
        <v>4</v>
      </c>
      <c r="B89" s="4">
        <v>36</v>
      </c>
      <c r="E89" s="2" t="s">
        <v>559</v>
      </c>
      <c r="F89" s="2" t="s">
        <v>560</v>
      </c>
      <c r="G89" s="2" t="s">
        <v>561</v>
      </c>
      <c r="H89" s="2" t="s">
        <v>562</v>
      </c>
      <c r="I89" s="2" t="s">
        <v>563</v>
      </c>
    </row>
    <row r="90" spans="1:9" x14ac:dyDescent="0.2">
      <c r="A90" s="2" t="s">
        <v>4</v>
      </c>
      <c r="B90" s="4">
        <v>37</v>
      </c>
      <c r="E90" s="2" t="s">
        <v>564</v>
      </c>
      <c r="F90" s="2" t="s">
        <v>565</v>
      </c>
      <c r="G90" s="2" t="s">
        <v>566</v>
      </c>
      <c r="H90" s="2" t="s">
        <v>567</v>
      </c>
      <c r="I90" s="2" t="s">
        <v>568</v>
      </c>
    </row>
    <row r="91" spans="1:9" x14ac:dyDescent="0.2">
      <c r="A91" s="2" t="s">
        <v>4</v>
      </c>
      <c r="B91" s="4">
        <v>38</v>
      </c>
      <c r="E91" s="2" t="s">
        <v>569</v>
      </c>
      <c r="F91" s="2" t="s">
        <v>570</v>
      </c>
      <c r="G91" s="2" t="s">
        <v>571</v>
      </c>
      <c r="H91" s="2" t="s">
        <v>572</v>
      </c>
      <c r="I91" s="2" t="s">
        <v>573</v>
      </c>
    </row>
    <row r="92" spans="1:9" x14ac:dyDescent="0.2">
      <c r="A92" s="2" t="s">
        <v>4</v>
      </c>
      <c r="B92" s="4">
        <v>39</v>
      </c>
      <c r="E92" s="2" t="s">
        <v>574</v>
      </c>
      <c r="F92" s="2" t="s">
        <v>104</v>
      </c>
      <c r="G92" s="2" t="s">
        <v>101</v>
      </c>
      <c r="H92" s="2" t="s">
        <v>99</v>
      </c>
      <c r="I92" s="2" t="s">
        <v>102</v>
      </c>
    </row>
    <row r="93" spans="1:9" x14ac:dyDescent="0.2">
      <c r="A93" s="2" t="s">
        <v>4</v>
      </c>
      <c r="B93" s="4">
        <v>40</v>
      </c>
      <c r="C93" s="2" t="s">
        <v>580</v>
      </c>
      <c r="E93" s="2" t="s">
        <v>575</v>
      </c>
      <c r="F93" s="2" t="s">
        <v>576</v>
      </c>
      <c r="G93" s="2" t="s">
        <v>577</v>
      </c>
      <c r="H93" s="2" t="s">
        <v>578</v>
      </c>
      <c r="I93" s="2" t="s">
        <v>579</v>
      </c>
    </row>
    <row r="94" spans="1:9" x14ac:dyDescent="0.2">
      <c r="A94" s="2" t="s">
        <v>5</v>
      </c>
      <c r="B94" s="4">
        <v>1</v>
      </c>
      <c r="E94" s="2" t="s">
        <v>581</v>
      </c>
      <c r="F94" s="2" t="s">
        <v>582</v>
      </c>
      <c r="G94" s="2" t="s">
        <v>583</v>
      </c>
      <c r="H94" s="2" t="s">
        <v>584</v>
      </c>
      <c r="I94" s="2" t="s">
        <v>585</v>
      </c>
    </row>
    <row r="95" spans="1:9" x14ac:dyDescent="0.2">
      <c r="A95" s="2" t="s">
        <v>5</v>
      </c>
      <c r="B95" s="4">
        <v>2</v>
      </c>
      <c r="E95" s="2" t="s">
        <v>586</v>
      </c>
      <c r="F95" s="2" t="s">
        <v>587</v>
      </c>
      <c r="G95" s="2" t="s">
        <v>588</v>
      </c>
      <c r="H95" s="2" t="s">
        <v>589</v>
      </c>
      <c r="I95" s="2" t="s">
        <v>590</v>
      </c>
    </row>
    <row r="96" spans="1:9" x14ac:dyDescent="0.2">
      <c r="A96" s="2" t="s">
        <v>5</v>
      </c>
      <c r="B96" s="4">
        <v>3</v>
      </c>
      <c r="E96" s="2" t="s">
        <v>591</v>
      </c>
      <c r="F96" s="2" t="s">
        <v>592</v>
      </c>
      <c r="G96" s="2" t="s">
        <v>593</v>
      </c>
      <c r="H96" s="2" t="s">
        <v>594</v>
      </c>
      <c r="I96" s="2" t="s">
        <v>595</v>
      </c>
    </row>
    <row r="97" spans="1:9" x14ac:dyDescent="0.2">
      <c r="A97" s="2" t="s">
        <v>5</v>
      </c>
      <c r="B97" s="4">
        <v>4</v>
      </c>
      <c r="E97" s="2" t="s">
        <v>596</v>
      </c>
      <c r="F97" s="2" t="s">
        <v>597</v>
      </c>
      <c r="G97" s="2" t="s">
        <v>598</v>
      </c>
      <c r="H97" s="2" t="s">
        <v>599</v>
      </c>
      <c r="I97" s="2" t="s">
        <v>600</v>
      </c>
    </row>
    <row r="98" spans="1:9" x14ac:dyDescent="0.2">
      <c r="A98" s="2" t="s">
        <v>5</v>
      </c>
      <c r="B98" s="4">
        <v>5</v>
      </c>
      <c r="C98" s="2" t="s">
        <v>606</v>
      </c>
      <c r="E98" s="2" t="s">
        <v>601</v>
      </c>
      <c r="F98" s="2" t="s">
        <v>602</v>
      </c>
      <c r="G98" s="2" t="s">
        <v>603</v>
      </c>
      <c r="H98" s="2" t="s">
        <v>604</v>
      </c>
      <c r="I98" s="2" t="s">
        <v>605</v>
      </c>
    </row>
    <row r="99" spans="1:9" x14ac:dyDescent="0.2">
      <c r="A99" s="2" t="s">
        <v>5</v>
      </c>
      <c r="B99" s="4">
        <v>6</v>
      </c>
      <c r="E99" s="2" t="s">
        <v>607</v>
      </c>
      <c r="F99" s="2" t="s">
        <v>608</v>
      </c>
      <c r="G99" s="2" t="s">
        <v>609</v>
      </c>
      <c r="H99" s="2" t="s">
        <v>610</v>
      </c>
      <c r="I99" s="2" t="s">
        <v>611</v>
      </c>
    </row>
    <row r="100" spans="1:9" x14ac:dyDescent="0.2">
      <c r="A100" s="2" t="s">
        <v>5</v>
      </c>
      <c r="B100" s="4">
        <v>7</v>
      </c>
      <c r="E100" s="2" t="s">
        <v>612</v>
      </c>
      <c r="F100" s="2" t="s">
        <v>613</v>
      </c>
      <c r="G100" s="2" t="s">
        <v>614</v>
      </c>
      <c r="H100" s="2" t="s">
        <v>615</v>
      </c>
      <c r="I100" s="2" t="s">
        <v>616</v>
      </c>
    </row>
    <row r="101" spans="1:9" x14ac:dyDescent="0.2">
      <c r="A101" s="2" t="s">
        <v>5</v>
      </c>
      <c r="B101" s="4">
        <v>8</v>
      </c>
      <c r="E101" s="2" t="s">
        <v>617</v>
      </c>
      <c r="F101" s="2" t="s">
        <v>618</v>
      </c>
      <c r="G101" s="2" t="s">
        <v>619</v>
      </c>
      <c r="H101" s="2" t="s">
        <v>620</v>
      </c>
      <c r="I101" s="2" t="s">
        <v>621</v>
      </c>
    </row>
    <row r="102" spans="1:9" x14ac:dyDescent="0.2">
      <c r="A102" s="2" t="s">
        <v>5</v>
      </c>
      <c r="B102" s="4">
        <v>9</v>
      </c>
      <c r="E102" s="2" t="s">
        <v>622</v>
      </c>
      <c r="F102" s="2" t="s">
        <v>623</v>
      </c>
      <c r="G102" s="2" t="s">
        <v>624</v>
      </c>
      <c r="H102" s="2" t="s">
        <v>625</v>
      </c>
      <c r="I102" s="2" t="s">
        <v>626</v>
      </c>
    </row>
    <row r="103" spans="1:9" x14ac:dyDescent="0.2">
      <c r="A103" s="2" t="s">
        <v>5</v>
      </c>
      <c r="B103" s="4">
        <v>10</v>
      </c>
      <c r="E103" s="2" t="s">
        <v>627</v>
      </c>
      <c r="F103" s="2" t="s">
        <v>628</v>
      </c>
      <c r="G103" s="2" t="s">
        <v>629</v>
      </c>
      <c r="H103" s="2" t="s">
        <v>630</v>
      </c>
      <c r="I103" s="2" t="s">
        <v>631</v>
      </c>
    </row>
    <row r="104" spans="1:9" x14ac:dyDescent="0.2">
      <c r="A104" s="2" t="s">
        <v>5</v>
      </c>
      <c r="B104" s="4">
        <v>11</v>
      </c>
      <c r="C104" s="2" t="s">
        <v>637</v>
      </c>
      <c r="E104" s="2" t="s">
        <v>632</v>
      </c>
      <c r="F104" s="2" t="s">
        <v>633</v>
      </c>
      <c r="G104" s="2" t="s">
        <v>634</v>
      </c>
      <c r="H104" s="2" t="s">
        <v>635</v>
      </c>
      <c r="I104" s="2" t="s">
        <v>636</v>
      </c>
    </row>
    <row r="105" spans="1:9" x14ac:dyDescent="0.2">
      <c r="A105" s="2" t="s">
        <v>5</v>
      </c>
      <c r="B105" s="4">
        <v>12</v>
      </c>
      <c r="E105" s="2" t="s">
        <v>638</v>
      </c>
      <c r="F105" s="2" t="s">
        <v>639</v>
      </c>
      <c r="G105" s="2" t="s">
        <v>640</v>
      </c>
      <c r="H105" s="2" t="s">
        <v>641</v>
      </c>
      <c r="I105" s="2" t="s">
        <v>642</v>
      </c>
    </row>
    <row r="106" spans="1:9" x14ac:dyDescent="0.2">
      <c r="A106" s="2" t="s">
        <v>5</v>
      </c>
      <c r="B106" s="4">
        <v>13</v>
      </c>
      <c r="E106" s="2" t="s">
        <v>643</v>
      </c>
      <c r="F106" s="2" t="s">
        <v>644</v>
      </c>
      <c r="G106" s="2" t="s">
        <v>645</v>
      </c>
      <c r="H106" s="2" t="s">
        <v>646</v>
      </c>
      <c r="I106" s="2" t="s">
        <v>647</v>
      </c>
    </row>
    <row r="107" spans="1:9" x14ac:dyDescent="0.2">
      <c r="A107" s="2" t="s">
        <v>5</v>
      </c>
      <c r="B107" s="4">
        <v>14</v>
      </c>
      <c r="E107" s="2" t="s">
        <v>648</v>
      </c>
      <c r="F107" s="2" t="s">
        <v>649</v>
      </c>
      <c r="G107" s="2" t="s">
        <v>650</v>
      </c>
      <c r="H107" s="2" t="s">
        <v>651</v>
      </c>
      <c r="I107" s="2" t="s">
        <v>652</v>
      </c>
    </row>
    <row r="108" spans="1:9" x14ac:dyDescent="0.2">
      <c r="A108" s="2" t="s">
        <v>5</v>
      </c>
      <c r="B108" s="4">
        <v>15</v>
      </c>
      <c r="C108" s="2" t="s">
        <v>110</v>
      </c>
      <c r="E108" s="2" t="s">
        <v>653</v>
      </c>
      <c r="F108" s="2" t="s">
        <v>143</v>
      </c>
      <c r="G108" s="2" t="s">
        <v>112</v>
      </c>
      <c r="H108" s="2" t="s">
        <v>113</v>
      </c>
      <c r="I108" s="2" t="s">
        <v>114</v>
      </c>
    </row>
    <row r="109" spans="1:9" x14ac:dyDescent="0.2">
      <c r="A109" s="2" t="s">
        <v>5</v>
      </c>
      <c r="B109" s="4">
        <v>16</v>
      </c>
      <c r="E109" s="2" t="s">
        <v>654</v>
      </c>
      <c r="F109" s="2" t="s">
        <v>655</v>
      </c>
      <c r="G109" s="2" t="s">
        <v>656</v>
      </c>
      <c r="H109" s="2" t="s">
        <v>657</v>
      </c>
      <c r="I109" s="2" t="s">
        <v>658</v>
      </c>
    </row>
    <row r="110" spans="1:9" x14ac:dyDescent="0.2">
      <c r="A110" s="2" t="s">
        <v>5</v>
      </c>
      <c r="B110" s="4">
        <v>17</v>
      </c>
      <c r="E110" s="2" t="s">
        <v>659</v>
      </c>
      <c r="F110" s="2" t="s">
        <v>660</v>
      </c>
      <c r="G110" s="2" t="s">
        <v>661</v>
      </c>
      <c r="H110" s="2" t="s">
        <v>662</v>
      </c>
      <c r="I110" s="2" t="s">
        <v>663</v>
      </c>
    </row>
    <row r="111" spans="1:9" x14ac:dyDescent="0.2">
      <c r="A111" s="2" t="s">
        <v>5</v>
      </c>
      <c r="B111" s="4">
        <v>18</v>
      </c>
      <c r="E111" s="2" t="s">
        <v>664</v>
      </c>
      <c r="F111" s="2" t="s">
        <v>665</v>
      </c>
      <c r="G111" s="2" t="s">
        <v>666</v>
      </c>
      <c r="H111" s="2" t="s">
        <v>667</v>
      </c>
      <c r="I111" s="2" t="s">
        <v>668</v>
      </c>
    </row>
    <row r="112" spans="1:9" x14ac:dyDescent="0.2">
      <c r="A112" s="2" t="s">
        <v>5</v>
      </c>
      <c r="B112" s="4">
        <v>19</v>
      </c>
      <c r="E112" s="2" t="s">
        <v>669</v>
      </c>
      <c r="F112" s="2" t="s">
        <v>670</v>
      </c>
      <c r="G112" s="2" t="s">
        <v>671</v>
      </c>
      <c r="H112" s="2" t="s">
        <v>672</v>
      </c>
      <c r="I112" s="2" t="s">
        <v>673</v>
      </c>
    </row>
    <row r="113" spans="1:9" x14ac:dyDescent="0.2">
      <c r="A113" s="2" t="s">
        <v>5</v>
      </c>
      <c r="B113" s="4">
        <v>20</v>
      </c>
      <c r="E113" s="2" t="s">
        <v>674</v>
      </c>
      <c r="F113" s="2" t="s">
        <v>675</v>
      </c>
      <c r="G113" s="2" t="s">
        <v>676</v>
      </c>
      <c r="H113" s="2" t="s">
        <v>677</v>
      </c>
      <c r="I113" s="2" t="s">
        <v>678</v>
      </c>
    </row>
    <row r="114" spans="1:9" x14ac:dyDescent="0.2">
      <c r="A114" s="2" t="s">
        <v>5</v>
      </c>
      <c r="B114" s="4">
        <v>21</v>
      </c>
      <c r="C114" s="2" t="s">
        <v>680</v>
      </c>
      <c r="E114" s="2" t="s">
        <v>679</v>
      </c>
      <c r="F114" s="2" t="s">
        <v>103</v>
      </c>
      <c r="G114" s="2" t="s">
        <v>103</v>
      </c>
      <c r="H114" s="2" t="s">
        <v>103</v>
      </c>
      <c r="I114" s="2" t="s">
        <v>103</v>
      </c>
    </row>
    <row r="115" spans="1:9" x14ac:dyDescent="0.2">
      <c r="A115" s="2" t="s">
        <v>5</v>
      </c>
      <c r="B115" s="4">
        <v>22</v>
      </c>
      <c r="E115" s="2" t="s">
        <v>681</v>
      </c>
      <c r="F115" s="2" t="s">
        <v>682</v>
      </c>
      <c r="G115" s="2" t="s">
        <v>683</v>
      </c>
      <c r="H115" s="2" t="s">
        <v>684</v>
      </c>
      <c r="I115" s="2" t="s">
        <v>685</v>
      </c>
    </row>
    <row r="116" spans="1:9" x14ac:dyDescent="0.2">
      <c r="A116" s="2" t="s">
        <v>5</v>
      </c>
      <c r="B116" s="4">
        <v>23</v>
      </c>
      <c r="E116" s="2" t="s">
        <v>686</v>
      </c>
      <c r="F116" s="2" t="s">
        <v>687</v>
      </c>
      <c r="G116" s="2" t="s">
        <v>688</v>
      </c>
      <c r="H116" s="2" t="s">
        <v>689</v>
      </c>
      <c r="I116" s="2" t="s">
        <v>690</v>
      </c>
    </row>
    <row r="117" spans="1:9" x14ac:dyDescent="0.2">
      <c r="A117" s="2" t="s">
        <v>5</v>
      </c>
      <c r="B117" s="4">
        <v>24</v>
      </c>
      <c r="E117" s="2" t="s">
        <v>691</v>
      </c>
      <c r="F117" s="2" t="s">
        <v>692</v>
      </c>
      <c r="G117" s="2" t="s">
        <v>693</v>
      </c>
      <c r="H117" s="2" t="s">
        <v>694</v>
      </c>
      <c r="I117" s="2" t="s">
        <v>695</v>
      </c>
    </row>
    <row r="118" spans="1:9" x14ac:dyDescent="0.2">
      <c r="A118" s="2" t="s">
        <v>5</v>
      </c>
      <c r="B118" s="4">
        <v>25</v>
      </c>
      <c r="E118" s="2" t="s">
        <v>696</v>
      </c>
      <c r="F118" s="2" t="s">
        <v>104</v>
      </c>
      <c r="G118" s="2" t="s">
        <v>105</v>
      </c>
      <c r="H118" s="2" t="s">
        <v>106</v>
      </c>
      <c r="I118" s="2" t="s">
        <v>101</v>
      </c>
    </row>
    <row r="119" spans="1:9" x14ac:dyDescent="0.2">
      <c r="A119" s="2" t="s">
        <v>5</v>
      </c>
      <c r="B119" s="4">
        <v>26</v>
      </c>
      <c r="C119" s="2" t="s">
        <v>700</v>
      </c>
      <c r="E119" s="2" t="s">
        <v>697</v>
      </c>
      <c r="F119" s="2" t="s">
        <v>126</v>
      </c>
      <c r="G119" s="2" t="s">
        <v>698</v>
      </c>
      <c r="H119" s="2" t="s">
        <v>127</v>
      </c>
      <c r="I119" s="2" t="s">
        <v>699</v>
      </c>
    </row>
    <row r="120" spans="1:9" x14ac:dyDescent="0.2">
      <c r="A120" s="2" t="s">
        <v>5</v>
      </c>
      <c r="B120" s="4">
        <v>27</v>
      </c>
      <c r="E120" s="2" t="s">
        <v>701</v>
      </c>
      <c r="F120" s="2" t="s">
        <v>702</v>
      </c>
      <c r="G120" s="2" t="s">
        <v>703</v>
      </c>
      <c r="H120" s="2" t="s">
        <v>704</v>
      </c>
      <c r="I120" s="2" t="s">
        <v>705</v>
      </c>
    </row>
    <row r="121" spans="1:9" x14ac:dyDescent="0.2">
      <c r="A121" s="2" t="s">
        <v>5</v>
      </c>
      <c r="B121" s="4">
        <v>28</v>
      </c>
      <c r="E121" s="2" t="s">
        <v>706</v>
      </c>
      <c r="F121" s="2" t="s">
        <v>707</v>
      </c>
      <c r="G121" s="2" t="s">
        <v>708</v>
      </c>
      <c r="H121" s="2" t="s">
        <v>709</v>
      </c>
      <c r="I121" s="2" t="s">
        <v>710</v>
      </c>
    </row>
    <row r="122" spans="1:9" x14ac:dyDescent="0.2">
      <c r="A122" s="2" t="s">
        <v>5</v>
      </c>
      <c r="B122" s="4">
        <v>29</v>
      </c>
      <c r="E122" s="2" t="s">
        <v>711</v>
      </c>
      <c r="F122" s="2" t="s">
        <v>712</v>
      </c>
      <c r="G122" s="2" t="s">
        <v>713</v>
      </c>
      <c r="H122" s="2" t="s">
        <v>714</v>
      </c>
      <c r="I122" s="2" t="s">
        <v>715</v>
      </c>
    </row>
    <row r="123" spans="1:9" x14ac:dyDescent="0.2">
      <c r="A123" s="2" t="s">
        <v>5</v>
      </c>
      <c r="B123" s="4">
        <v>30</v>
      </c>
      <c r="C123" s="2" t="s">
        <v>110</v>
      </c>
      <c r="E123" s="2" t="s">
        <v>716</v>
      </c>
      <c r="F123" s="2" t="s">
        <v>717</v>
      </c>
      <c r="G123" s="2" t="s">
        <v>718</v>
      </c>
      <c r="H123" s="2" t="s">
        <v>719</v>
      </c>
      <c r="I123" s="2" t="s">
        <v>720</v>
      </c>
    </row>
    <row r="124" spans="1:9" x14ac:dyDescent="0.2">
      <c r="A124" s="2" t="s">
        <v>5</v>
      </c>
      <c r="B124" s="4">
        <v>31</v>
      </c>
      <c r="E124" s="2" t="s">
        <v>721</v>
      </c>
      <c r="F124" s="2" t="s">
        <v>722</v>
      </c>
      <c r="G124" s="2" t="s">
        <v>723</v>
      </c>
      <c r="H124" s="2" t="s">
        <v>724</v>
      </c>
      <c r="I124" s="2" t="s">
        <v>725</v>
      </c>
    </row>
    <row r="125" spans="1:9" x14ac:dyDescent="0.2">
      <c r="A125" s="2" t="s">
        <v>5</v>
      </c>
      <c r="B125" s="4">
        <v>32</v>
      </c>
      <c r="E125" s="2" t="s">
        <v>726</v>
      </c>
      <c r="F125" s="2" t="s">
        <v>143</v>
      </c>
      <c r="G125" s="2" t="s">
        <v>112</v>
      </c>
      <c r="H125" s="2" t="s">
        <v>114</v>
      </c>
      <c r="I125" s="2" t="s">
        <v>137</v>
      </c>
    </row>
    <row r="126" spans="1:9" x14ac:dyDescent="0.2">
      <c r="A126" s="2" t="s">
        <v>5</v>
      </c>
      <c r="B126" s="4">
        <v>33</v>
      </c>
      <c r="E126" s="2" t="s">
        <v>727</v>
      </c>
      <c r="F126" s="2" t="s">
        <v>125</v>
      </c>
      <c r="G126" s="2" t="s">
        <v>728</v>
      </c>
      <c r="H126" s="2" t="s">
        <v>729</v>
      </c>
      <c r="I126" s="2" t="s">
        <v>730</v>
      </c>
    </row>
    <row r="127" spans="1:9" x14ac:dyDescent="0.2">
      <c r="A127" s="2" t="s">
        <v>5</v>
      </c>
      <c r="B127" s="4">
        <v>34</v>
      </c>
      <c r="E127" s="2" t="s">
        <v>731</v>
      </c>
      <c r="F127" s="2" t="s">
        <v>732</v>
      </c>
      <c r="G127" s="2" t="s">
        <v>733</v>
      </c>
      <c r="H127" s="2" t="s">
        <v>734</v>
      </c>
      <c r="I127" s="2" t="s">
        <v>735</v>
      </c>
    </row>
    <row r="128" spans="1:9" x14ac:dyDescent="0.2">
      <c r="A128" s="2" t="s">
        <v>5</v>
      </c>
      <c r="B128" s="4">
        <v>35</v>
      </c>
      <c r="C128" s="2" t="s">
        <v>741</v>
      </c>
      <c r="E128" s="2" t="s">
        <v>736</v>
      </c>
      <c r="F128" s="2" t="s">
        <v>737</v>
      </c>
      <c r="G128" s="2" t="s">
        <v>738</v>
      </c>
      <c r="H128" s="2" t="s">
        <v>739</v>
      </c>
      <c r="I128" s="2" t="s">
        <v>740</v>
      </c>
    </row>
    <row r="129" spans="1:9" x14ac:dyDescent="0.2">
      <c r="A129" s="2" t="s">
        <v>5</v>
      </c>
      <c r="B129" s="4">
        <v>36</v>
      </c>
      <c r="E129" s="2" t="s">
        <v>742</v>
      </c>
      <c r="F129" s="2" t="s">
        <v>743</v>
      </c>
      <c r="G129" s="2" t="s">
        <v>744</v>
      </c>
      <c r="H129" s="2" t="s">
        <v>745</v>
      </c>
      <c r="I129" s="2" t="s">
        <v>746</v>
      </c>
    </row>
    <row r="130" spans="1:9" x14ac:dyDescent="0.2">
      <c r="A130" s="2" t="s">
        <v>5</v>
      </c>
      <c r="B130" s="4">
        <v>37</v>
      </c>
      <c r="E130" s="2" t="s">
        <v>747</v>
      </c>
      <c r="F130" s="2" t="s">
        <v>99</v>
      </c>
      <c r="G130" s="2" t="s">
        <v>105</v>
      </c>
      <c r="H130" s="2" t="s">
        <v>106</v>
      </c>
      <c r="I130" s="2" t="s">
        <v>100</v>
      </c>
    </row>
    <row r="131" spans="1:9" x14ac:dyDescent="0.2">
      <c r="A131" s="2" t="s">
        <v>5</v>
      </c>
      <c r="B131" s="4">
        <v>38</v>
      </c>
      <c r="E131" s="2" t="s">
        <v>748</v>
      </c>
      <c r="F131" s="2" t="s">
        <v>749</v>
      </c>
      <c r="G131" s="2" t="s">
        <v>750</v>
      </c>
      <c r="H131" s="2" t="s">
        <v>751</v>
      </c>
      <c r="I131" s="2" t="s">
        <v>752</v>
      </c>
    </row>
    <row r="132" spans="1:9" x14ac:dyDescent="0.2">
      <c r="A132" s="2" t="s">
        <v>5</v>
      </c>
      <c r="B132" s="4">
        <v>39</v>
      </c>
      <c r="E132" s="2" t="s">
        <v>753</v>
      </c>
      <c r="F132" s="2" t="s">
        <v>754</v>
      </c>
      <c r="G132" s="2" t="s">
        <v>755</v>
      </c>
      <c r="H132" s="2" t="s">
        <v>756</v>
      </c>
      <c r="I132" s="2" t="s">
        <v>757</v>
      </c>
    </row>
    <row r="133" spans="1:9" x14ac:dyDescent="0.2">
      <c r="A133" s="2" t="s">
        <v>5</v>
      </c>
      <c r="B133" s="4">
        <v>40</v>
      </c>
      <c r="E133" s="2" t="s">
        <v>758</v>
      </c>
      <c r="F133" s="2" t="s">
        <v>759</v>
      </c>
      <c r="G133" s="2" t="s">
        <v>760</v>
      </c>
      <c r="H133" s="2" t="s">
        <v>761</v>
      </c>
      <c r="I133" s="2" t="s">
        <v>762</v>
      </c>
    </row>
    <row r="134" spans="1:9" x14ac:dyDescent="0.2">
      <c r="A134" s="2" t="s">
        <v>5</v>
      </c>
      <c r="B134" s="4">
        <v>41</v>
      </c>
      <c r="C134" s="2" t="s">
        <v>768</v>
      </c>
      <c r="E134" s="2" t="s">
        <v>763</v>
      </c>
      <c r="F134" s="2" t="s">
        <v>764</v>
      </c>
      <c r="G134" s="2" t="s">
        <v>765</v>
      </c>
      <c r="H134" s="2" t="s">
        <v>766</v>
      </c>
      <c r="I134" s="2" t="s">
        <v>767</v>
      </c>
    </row>
    <row r="135" spans="1:9" x14ac:dyDescent="0.2">
      <c r="A135" s="2" t="s">
        <v>5</v>
      </c>
      <c r="B135" s="4">
        <v>42</v>
      </c>
      <c r="E135" s="2" t="s">
        <v>769</v>
      </c>
      <c r="F135" s="2" t="s">
        <v>770</v>
      </c>
      <c r="G135" s="2" t="s">
        <v>771</v>
      </c>
      <c r="H135" s="2" t="s">
        <v>772</v>
      </c>
      <c r="I135" s="2" t="s">
        <v>773</v>
      </c>
    </row>
    <row r="136" spans="1:9" x14ac:dyDescent="0.2">
      <c r="A136" s="2" t="s">
        <v>5</v>
      </c>
      <c r="B136" s="4">
        <v>43</v>
      </c>
      <c r="E136" s="2" t="s">
        <v>774</v>
      </c>
      <c r="F136" s="2" t="s">
        <v>775</v>
      </c>
      <c r="G136" s="2" t="s">
        <v>776</v>
      </c>
      <c r="H136" s="2" t="s">
        <v>777</v>
      </c>
      <c r="I136" s="2" t="s">
        <v>778</v>
      </c>
    </row>
    <row r="137" spans="1:9" x14ac:dyDescent="0.2">
      <c r="A137" s="2" t="s">
        <v>5</v>
      </c>
      <c r="B137" s="4">
        <v>44</v>
      </c>
      <c r="E137" s="2" t="s">
        <v>779</v>
      </c>
      <c r="F137" s="2" t="s">
        <v>780</v>
      </c>
      <c r="G137" s="2" t="s">
        <v>781</v>
      </c>
      <c r="H137" s="2" t="s">
        <v>782</v>
      </c>
      <c r="I137" s="2" t="s">
        <v>783</v>
      </c>
    </row>
    <row r="138" spans="1:9" x14ac:dyDescent="0.2">
      <c r="A138" s="2" t="s">
        <v>5</v>
      </c>
      <c r="B138" s="4">
        <v>45</v>
      </c>
      <c r="E138" s="2" t="s">
        <v>784</v>
      </c>
      <c r="F138" s="2" t="s">
        <v>785</v>
      </c>
      <c r="G138" s="2" t="s">
        <v>786</v>
      </c>
      <c r="H138" s="2" t="s">
        <v>787</v>
      </c>
      <c r="I138" s="2" t="s">
        <v>788</v>
      </c>
    </row>
    <row r="139" spans="1:9" x14ac:dyDescent="0.2">
      <c r="A139" s="2" t="s">
        <v>5</v>
      </c>
      <c r="B139" s="4">
        <v>46</v>
      </c>
      <c r="E139" s="2" t="s">
        <v>789</v>
      </c>
      <c r="F139" s="2" t="s">
        <v>790</v>
      </c>
      <c r="G139" s="2" t="s">
        <v>791</v>
      </c>
      <c r="H139" s="2" t="s">
        <v>792</v>
      </c>
      <c r="I139" s="2" t="s">
        <v>793</v>
      </c>
    </row>
    <row r="140" spans="1:9" x14ac:dyDescent="0.2">
      <c r="A140" s="2" t="s">
        <v>5</v>
      </c>
      <c r="B140" s="4">
        <v>47</v>
      </c>
      <c r="C140" s="2" t="s">
        <v>799</v>
      </c>
      <c r="E140" s="2" t="s">
        <v>794</v>
      </c>
      <c r="F140" s="2" t="s">
        <v>795</v>
      </c>
      <c r="G140" s="2" t="s">
        <v>796</v>
      </c>
      <c r="H140" s="2" t="s">
        <v>797</v>
      </c>
      <c r="I140" s="2" t="s">
        <v>798</v>
      </c>
    </row>
    <row r="141" spans="1:9" x14ac:dyDescent="0.2">
      <c r="A141" s="2" t="s">
        <v>5</v>
      </c>
      <c r="B141" s="9">
        <v>48</v>
      </c>
      <c r="C141" s="9" t="s">
        <v>943</v>
      </c>
      <c r="E141" s="9" t="s">
        <v>943</v>
      </c>
      <c r="F141" s="9" t="s">
        <v>944</v>
      </c>
      <c r="G141" s="9" t="s">
        <v>945</v>
      </c>
      <c r="H141" s="9" t="s">
        <v>946</v>
      </c>
    </row>
    <row r="142" spans="1:9" x14ac:dyDescent="0.2">
      <c r="A142" s="2" t="s">
        <v>5</v>
      </c>
      <c r="B142" s="9">
        <v>49</v>
      </c>
      <c r="E142" s="9" t="s">
        <v>947</v>
      </c>
      <c r="F142" s="9" t="s">
        <v>948</v>
      </c>
      <c r="G142" s="9" t="s">
        <v>153</v>
      </c>
      <c r="H142" s="9" t="s">
        <v>151</v>
      </c>
      <c r="I142" s="9" t="s">
        <v>152</v>
      </c>
    </row>
    <row r="143" spans="1:9" ht="22.5" x14ac:dyDescent="0.2">
      <c r="A143" s="2" t="s">
        <v>5</v>
      </c>
      <c r="B143" s="9">
        <v>50</v>
      </c>
      <c r="E143" s="9" t="s">
        <v>949</v>
      </c>
    </row>
    <row r="144" spans="1:9" ht="22.5" x14ac:dyDescent="0.2">
      <c r="A144" s="2" t="s">
        <v>5</v>
      </c>
      <c r="B144" s="9">
        <v>51</v>
      </c>
      <c r="E144" s="9" t="s">
        <v>950</v>
      </c>
      <c r="F144" s="9" t="s">
        <v>140</v>
      </c>
      <c r="G144" s="9" t="s">
        <v>951</v>
      </c>
      <c r="H144" s="9" t="s">
        <v>141</v>
      </c>
      <c r="I144" s="9" t="s">
        <v>142</v>
      </c>
    </row>
    <row r="145" spans="1:9" ht="22.5" x14ac:dyDescent="0.2">
      <c r="A145" s="2" t="s">
        <v>5</v>
      </c>
      <c r="B145" s="9">
        <v>52</v>
      </c>
      <c r="C145" s="9" t="s">
        <v>110</v>
      </c>
      <c r="E145" s="9" t="s">
        <v>952</v>
      </c>
      <c r="F145" s="9" t="s">
        <v>953</v>
      </c>
      <c r="G145" s="9" t="s">
        <v>954</v>
      </c>
      <c r="H145" s="9" t="s">
        <v>955</v>
      </c>
      <c r="I145" s="9" t="s">
        <v>146</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3" sqref="A3:A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61</v>
      </c>
      <c r="E1" s="12" t="s">
        <v>118</v>
      </c>
      <c r="F1" s="12" t="s">
        <v>19</v>
      </c>
      <c r="G1" s="12" t="s">
        <v>20</v>
      </c>
    </row>
    <row r="2" spans="1:31" x14ac:dyDescent="0.2">
      <c r="A2" s="2" t="s">
        <v>119</v>
      </c>
      <c r="B2" s="2" t="s">
        <v>21</v>
      </c>
      <c r="C2" s="2" t="s">
        <v>26</v>
      </c>
      <c r="D2" s="2" t="s">
        <v>62</v>
      </c>
      <c r="E2" s="2">
        <v>34</v>
      </c>
      <c r="F2" s="2">
        <v>10</v>
      </c>
      <c r="G2" s="2" t="s">
        <v>963</v>
      </c>
      <c r="AE2" s="2">
        <v>25</v>
      </c>
    </row>
    <row r="3" spans="1:31" x14ac:dyDescent="0.2">
      <c r="A3" s="2" t="s">
        <v>119</v>
      </c>
      <c r="B3" s="2" t="s">
        <v>4</v>
      </c>
      <c r="C3" s="2" t="s">
        <v>24</v>
      </c>
      <c r="D3" s="2" t="s">
        <v>63</v>
      </c>
      <c r="E3" s="2">
        <v>7</v>
      </c>
      <c r="F3" s="2">
        <v>2</v>
      </c>
      <c r="G3" s="2" t="s">
        <v>963</v>
      </c>
      <c r="AE3" s="2">
        <v>8</v>
      </c>
    </row>
    <row r="4" spans="1:31" x14ac:dyDescent="0.2">
      <c r="A4" s="2" t="s">
        <v>119</v>
      </c>
      <c r="B4" s="2" t="s">
        <v>5</v>
      </c>
      <c r="C4" s="2" t="s">
        <v>25</v>
      </c>
      <c r="D4" s="2" t="s">
        <v>64</v>
      </c>
      <c r="E4" s="2">
        <v>12</v>
      </c>
      <c r="F4" s="2">
        <v>3</v>
      </c>
      <c r="G4" s="2" t="s">
        <v>963</v>
      </c>
      <c r="AE4" s="2">
        <v>11</v>
      </c>
    </row>
    <row r="5" spans="1:31" x14ac:dyDescent="0.2">
      <c r="A5" s="2" t="s">
        <v>119</v>
      </c>
      <c r="B5" s="2" t="s">
        <v>3</v>
      </c>
      <c r="C5" s="2" t="s">
        <v>23</v>
      </c>
      <c r="D5" s="2" t="s">
        <v>65</v>
      </c>
      <c r="E5" s="2">
        <v>15</v>
      </c>
      <c r="F5" s="2">
        <v>5</v>
      </c>
      <c r="G5" s="2" t="s">
        <v>962</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93"/>
  <sheetViews>
    <sheetView topLeftCell="A180" workbookViewId="0">
      <selection activeCell="E186" sqref="E186"/>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79</v>
      </c>
      <c r="B1" s="16" t="s">
        <v>2</v>
      </c>
      <c r="C1" s="16" t="s">
        <v>115</v>
      </c>
      <c r="D1" s="16" t="s">
        <v>116</v>
      </c>
      <c r="E1" s="16" t="s">
        <v>67</v>
      </c>
      <c r="F1" s="16" t="s">
        <v>117</v>
      </c>
    </row>
    <row r="2" spans="1:6" x14ac:dyDescent="0.2">
      <c r="A2" s="2" t="s">
        <v>119</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119</v>
      </c>
      <c r="B3" s="2" t="s">
        <v>21</v>
      </c>
      <c r="C3" s="2">
        <v>2</v>
      </c>
      <c r="D3" s="2">
        <v>0</v>
      </c>
      <c r="E3" s="2">
        <v>2</v>
      </c>
      <c r="F3" s="2" t="str">
        <f t="shared" si="0"/>
        <v>0th</v>
      </c>
    </row>
    <row r="4" spans="1:6" x14ac:dyDescent="0.2">
      <c r="A4" s="2" t="s">
        <v>119</v>
      </c>
      <c r="B4" s="2" t="s">
        <v>21</v>
      </c>
      <c r="C4" s="2">
        <v>3</v>
      </c>
      <c r="D4" s="2">
        <v>0</v>
      </c>
      <c r="E4" s="2">
        <v>3</v>
      </c>
      <c r="F4" s="2" t="str">
        <f t="shared" si="0"/>
        <v>0th</v>
      </c>
    </row>
    <row r="5" spans="1:6" x14ac:dyDescent="0.2">
      <c r="A5" s="2" t="s">
        <v>119</v>
      </c>
      <c r="B5" s="2" t="s">
        <v>21</v>
      </c>
      <c r="C5" s="2">
        <v>4</v>
      </c>
      <c r="D5" s="2">
        <v>0</v>
      </c>
      <c r="E5" s="2">
        <v>4</v>
      </c>
      <c r="F5" s="2" t="str">
        <f t="shared" si="0"/>
        <v>0th</v>
      </c>
    </row>
    <row r="6" spans="1:6" x14ac:dyDescent="0.2">
      <c r="A6" s="2" t="s">
        <v>119</v>
      </c>
      <c r="B6" s="2" t="s">
        <v>21</v>
      </c>
      <c r="C6" s="2">
        <v>5</v>
      </c>
      <c r="D6" s="2">
        <v>0</v>
      </c>
      <c r="E6" s="2">
        <v>5</v>
      </c>
      <c r="F6" s="2" t="str">
        <f t="shared" si="0"/>
        <v>0th</v>
      </c>
    </row>
    <row r="7" spans="1:6" x14ac:dyDescent="0.2">
      <c r="A7" s="2" t="s">
        <v>119</v>
      </c>
      <c r="B7" s="2" t="s">
        <v>21</v>
      </c>
      <c r="C7" s="2">
        <v>6</v>
      </c>
      <c r="D7" s="2">
        <v>0.1</v>
      </c>
      <c r="E7" s="2">
        <v>6</v>
      </c>
      <c r="F7" s="2" t="str">
        <f t="shared" si="0"/>
        <v>0th</v>
      </c>
    </row>
    <row r="8" spans="1:6" x14ac:dyDescent="0.2">
      <c r="A8" s="2" t="s">
        <v>119</v>
      </c>
      <c r="B8" s="2" t="s">
        <v>21</v>
      </c>
      <c r="C8" s="2">
        <v>7</v>
      </c>
      <c r="D8" s="2">
        <v>0.3</v>
      </c>
      <c r="E8" s="2">
        <v>7</v>
      </c>
      <c r="F8" s="2" t="str">
        <f t="shared" si="0"/>
        <v>0th</v>
      </c>
    </row>
    <row r="9" spans="1:6" x14ac:dyDescent="0.2">
      <c r="A9" s="2" t="s">
        <v>119</v>
      </c>
      <c r="B9" s="2" t="s">
        <v>21</v>
      </c>
      <c r="C9" s="2">
        <v>8</v>
      </c>
      <c r="D9" s="2">
        <v>0.6</v>
      </c>
      <c r="E9" s="2">
        <v>8</v>
      </c>
      <c r="F9" s="2" t="str">
        <f t="shared" si="0"/>
        <v>1st</v>
      </c>
    </row>
    <row r="10" spans="1:6" x14ac:dyDescent="0.2">
      <c r="A10" s="2" t="s">
        <v>119</v>
      </c>
      <c r="B10" s="2" t="s">
        <v>21</v>
      </c>
      <c r="C10" s="2">
        <v>9</v>
      </c>
      <c r="D10" s="2">
        <v>1</v>
      </c>
      <c r="E10" s="2">
        <v>9</v>
      </c>
      <c r="F10" s="2" t="str">
        <f t="shared" si="0"/>
        <v>1st</v>
      </c>
    </row>
    <row r="11" spans="1:6" x14ac:dyDescent="0.2">
      <c r="A11" s="2" t="s">
        <v>119</v>
      </c>
      <c r="B11" s="2" t="s">
        <v>21</v>
      </c>
      <c r="C11" s="2">
        <v>10</v>
      </c>
      <c r="D11" s="2">
        <v>1.5</v>
      </c>
      <c r="E11" s="2">
        <v>10</v>
      </c>
      <c r="F11" s="2" t="str">
        <f t="shared" si="0"/>
        <v>2nd</v>
      </c>
    </row>
    <row r="12" spans="1:6" x14ac:dyDescent="0.2">
      <c r="A12" s="2" t="s">
        <v>119</v>
      </c>
      <c r="B12" s="2" t="s">
        <v>21</v>
      </c>
      <c r="C12" s="2">
        <v>11</v>
      </c>
      <c r="D12" s="2">
        <v>2.2000000000000002</v>
      </c>
      <c r="E12" s="2">
        <v>11</v>
      </c>
      <c r="F12" s="2" t="str">
        <f t="shared" si="0"/>
        <v>2nd</v>
      </c>
    </row>
    <row r="13" spans="1:6" x14ac:dyDescent="0.2">
      <c r="A13" s="2" t="s">
        <v>119</v>
      </c>
      <c r="B13" s="2" t="s">
        <v>21</v>
      </c>
      <c r="C13" s="2">
        <v>12</v>
      </c>
      <c r="D13" s="2">
        <v>3.1</v>
      </c>
      <c r="E13" s="2">
        <v>12</v>
      </c>
      <c r="F13" s="2" t="str">
        <f t="shared" si="0"/>
        <v>3rd</v>
      </c>
    </row>
    <row r="14" spans="1:6" x14ac:dyDescent="0.2">
      <c r="A14" s="2" t="s">
        <v>119</v>
      </c>
      <c r="B14" s="2" t="s">
        <v>21</v>
      </c>
      <c r="C14" s="2">
        <v>13</v>
      </c>
      <c r="D14" s="2">
        <v>4.2</v>
      </c>
      <c r="E14" s="2">
        <v>13</v>
      </c>
      <c r="F14" s="2" t="str">
        <f t="shared" si="0"/>
        <v>4th</v>
      </c>
    </row>
    <row r="15" spans="1:6" x14ac:dyDescent="0.2">
      <c r="A15" s="2" t="s">
        <v>119</v>
      </c>
      <c r="B15" s="2" t="s">
        <v>21</v>
      </c>
      <c r="C15" s="2">
        <v>14</v>
      </c>
      <c r="D15" s="2">
        <v>5.5</v>
      </c>
      <c r="E15" s="2">
        <v>14</v>
      </c>
      <c r="F15" s="2" t="str">
        <f t="shared" si="0"/>
        <v>6th</v>
      </c>
    </row>
    <row r="16" spans="1:6" x14ac:dyDescent="0.2">
      <c r="A16" s="2" t="s">
        <v>119</v>
      </c>
      <c r="B16" s="2" t="s">
        <v>21</v>
      </c>
      <c r="C16" s="2">
        <v>15</v>
      </c>
      <c r="D16" s="2">
        <v>7.2</v>
      </c>
      <c r="E16" s="2">
        <v>15</v>
      </c>
      <c r="F16" s="2" t="str">
        <f t="shared" si="0"/>
        <v>7th</v>
      </c>
    </row>
    <row r="17" spans="1:6" x14ac:dyDescent="0.2">
      <c r="A17" s="2" t="s">
        <v>119</v>
      </c>
      <c r="B17" s="2" t="s">
        <v>21</v>
      </c>
      <c r="C17" s="2">
        <v>16</v>
      </c>
      <c r="D17" s="2">
        <v>9.1999999999999993</v>
      </c>
      <c r="E17" s="2">
        <v>16</v>
      </c>
      <c r="F17" s="2" t="str">
        <f t="shared" si="0"/>
        <v>9th</v>
      </c>
    </row>
    <row r="18" spans="1:6" x14ac:dyDescent="0.2">
      <c r="A18" s="2" t="s">
        <v>119</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119</v>
      </c>
      <c r="B19" s="2" t="s">
        <v>21</v>
      </c>
      <c r="C19" s="2">
        <v>18</v>
      </c>
      <c r="D19" s="2">
        <v>14.2</v>
      </c>
      <c r="E19" s="2">
        <v>18</v>
      </c>
      <c r="F19" s="2" t="str">
        <f t="shared" si="1"/>
        <v>14th</v>
      </c>
    </row>
    <row r="20" spans="1:6" x14ac:dyDescent="0.2">
      <c r="A20" s="2" t="s">
        <v>119</v>
      </c>
      <c r="B20" s="2" t="s">
        <v>21</v>
      </c>
      <c r="C20" s="2">
        <v>19</v>
      </c>
      <c r="D20" s="2">
        <v>17.399999999999999</v>
      </c>
      <c r="E20" s="2">
        <v>19</v>
      </c>
      <c r="F20" s="2" t="str">
        <f t="shared" si="1"/>
        <v>17th</v>
      </c>
    </row>
    <row r="21" spans="1:6" x14ac:dyDescent="0.2">
      <c r="A21" s="2" t="s">
        <v>119</v>
      </c>
      <c r="B21" s="2" t="s">
        <v>21</v>
      </c>
      <c r="C21" s="2">
        <v>20</v>
      </c>
      <c r="D21" s="2">
        <v>21.1</v>
      </c>
      <c r="E21" s="2">
        <v>20</v>
      </c>
      <c r="F21" s="2" t="str">
        <f t="shared" si="1"/>
        <v>21st</v>
      </c>
    </row>
    <row r="22" spans="1:6" x14ac:dyDescent="0.2">
      <c r="A22" s="2" t="s">
        <v>119</v>
      </c>
      <c r="B22" s="2" t="s">
        <v>21</v>
      </c>
      <c r="C22" s="2">
        <v>21</v>
      </c>
      <c r="D22" s="2">
        <v>25.3</v>
      </c>
      <c r="E22" s="2">
        <v>21</v>
      </c>
      <c r="F22" s="2" t="str">
        <f t="shared" si="1"/>
        <v>25th</v>
      </c>
    </row>
    <row r="23" spans="1:6" x14ac:dyDescent="0.2">
      <c r="A23" s="2" t="s">
        <v>119</v>
      </c>
      <c r="B23" s="2" t="s">
        <v>21</v>
      </c>
      <c r="C23" s="2">
        <v>22</v>
      </c>
      <c r="D23" s="2">
        <v>29.9</v>
      </c>
      <c r="E23" s="2">
        <v>22</v>
      </c>
      <c r="F23" s="2" t="str">
        <f t="shared" si="1"/>
        <v>30th</v>
      </c>
    </row>
    <row r="24" spans="1:6" x14ac:dyDescent="0.2">
      <c r="A24" s="2" t="s">
        <v>119</v>
      </c>
      <c r="B24" s="2" t="s">
        <v>21</v>
      </c>
      <c r="C24" s="2">
        <v>23</v>
      </c>
      <c r="D24" s="2">
        <v>35.1</v>
      </c>
      <c r="E24" s="2">
        <v>23</v>
      </c>
      <c r="F24" s="2" t="str">
        <f t="shared" si="1"/>
        <v>35th</v>
      </c>
    </row>
    <row r="25" spans="1:6" x14ac:dyDescent="0.2">
      <c r="A25" s="2" t="s">
        <v>119</v>
      </c>
      <c r="B25" s="2" t="s">
        <v>21</v>
      </c>
      <c r="C25" s="2">
        <v>24</v>
      </c>
      <c r="D25" s="2">
        <v>40.799999999999997</v>
      </c>
      <c r="E25" s="2">
        <v>24</v>
      </c>
      <c r="F25" s="2" t="str">
        <f t="shared" si="1"/>
        <v>41st</v>
      </c>
    </row>
    <row r="26" spans="1:6" x14ac:dyDescent="0.2">
      <c r="A26" s="2" t="s">
        <v>119</v>
      </c>
      <c r="B26" s="2" t="s">
        <v>21</v>
      </c>
      <c r="C26" s="2">
        <v>25</v>
      </c>
      <c r="D26" s="2">
        <v>46.9</v>
      </c>
      <c r="E26" s="2">
        <v>25</v>
      </c>
      <c r="F26" s="2" t="str">
        <f t="shared" si="1"/>
        <v>47th</v>
      </c>
    </row>
    <row r="27" spans="1:6" x14ac:dyDescent="0.2">
      <c r="A27" s="2" t="s">
        <v>119</v>
      </c>
      <c r="B27" s="2" t="s">
        <v>21</v>
      </c>
      <c r="C27" s="2">
        <v>26</v>
      </c>
      <c r="D27" s="2">
        <v>53.1</v>
      </c>
      <c r="E27" s="2">
        <v>26</v>
      </c>
      <c r="F27" s="2" t="str">
        <f t="shared" si="1"/>
        <v>53rd</v>
      </c>
    </row>
    <row r="28" spans="1:6" x14ac:dyDescent="0.2">
      <c r="A28" s="2" t="s">
        <v>119</v>
      </c>
      <c r="B28" s="2" t="s">
        <v>21</v>
      </c>
      <c r="C28" s="2">
        <v>27</v>
      </c>
      <c r="D28" s="2">
        <v>59.3</v>
      </c>
      <c r="E28" s="2">
        <v>27</v>
      </c>
      <c r="F28" s="2" t="str">
        <f t="shared" si="1"/>
        <v>59th</v>
      </c>
    </row>
    <row r="29" spans="1:6" x14ac:dyDescent="0.2">
      <c r="A29" s="2" t="s">
        <v>119</v>
      </c>
      <c r="B29" s="2" t="s">
        <v>21</v>
      </c>
      <c r="C29" s="2">
        <v>28</v>
      </c>
      <c r="D29" s="2">
        <v>65.5</v>
      </c>
      <c r="E29" s="2">
        <v>28</v>
      </c>
      <c r="F29" s="2" t="str">
        <f t="shared" si="1"/>
        <v>66th</v>
      </c>
    </row>
    <row r="30" spans="1:6" x14ac:dyDescent="0.2">
      <c r="A30" s="2" t="s">
        <v>119</v>
      </c>
      <c r="B30" s="2" t="s">
        <v>21</v>
      </c>
      <c r="C30" s="2">
        <v>29</v>
      </c>
      <c r="D30" s="2">
        <v>71.400000000000006</v>
      </c>
      <c r="E30" s="2">
        <v>29</v>
      </c>
      <c r="F30" s="2" t="str">
        <f t="shared" si="1"/>
        <v>71st</v>
      </c>
    </row>
    <row r="31" spans="1:6" x14ac:dyDescent="0.2">
      <c r="A31" s="2" t="s">
        <v>119</v>
      </c>
      <c r="B31" s="2" t="s">
        <v>21</v>
      </c>
      <c r="C31" s="2">
        <v>30</v>
      </c>
      <c r="D31" s="2">
        <v>76.900000000000006</v>
      </c>
      <c r="E31" s="2">
        <v>30</v>
      </c>
      <c r="F31" s="2" t="str">
        <f t="shared" si="1"/>
        <v>77th</v>
      </c>
    </row>
    <row r="32" spans="1:6" x14ac:dyDescent="0.2">
      <c r="A32" s="2" t="s">
        <v>119</v>
      </c>
      <c r="B32" s="2" t="s">
        <v>21</v>
      </c>
      <c r="C32" s="2">
        <v>31</v>
      </c>
      <c r="D32" s="2">
        <v>81.8</v>
      </c>
      <c r="E32" s="2">
        <v>31</v>
      </c>
      <c r="F32" s="2" t="str">
        <f t="shared" si="1"/>
        <v>82nd</v>
      </c>
    </row>
    <row r="33" spans="1:6" x14ac:dyDescent="0.2">
      <c r="A33" s="2" t="s">
        <v>119</v>
      </c>
      <c r="B33" s="2" t="s">
        <v>21</v>
      </c>
      <c r="C33" s="2">
        <v>32</v>
      </c>
      <c r="D33" s="2">
        <v>86</v>
      </c>
      <c r="E33" s="2">
        <v>32</v>
      </c>
      <c r="F33" s="2" t="str">
        <f t="shared" si="1"/>
        <v>86th</v>
      </c>
    </row>
    <row r="34" spans="1:6" x14ac:dyDescent="0.2">
      <c r="A34" s="2" t="s">
        <v>119</v>
      </c>
      <c r="B34" s="2" t="s">
        <v>21</v>
      </c>
      <c r="C34" s="2">
        <v>33</v>
      </c>
      <c r="D34" s="2">
        <v>89.6</v>
      </c>
      <c r="E34" s="2">
        <v>33</v>
      </c>
      <c r="F34" s="2" t="str">
        <f t="shared" si="1"/>
        <v>90th</v>
      </c>
    </row>
    <row r="35" spans="1:6" x14ac:dyDescent="0.2">
      <c r="A35" s="2" t="s">
        <v>119</v>
      </c>
      <c r="B35" s="2" t="s">
        <v>21</v>
      </c>
      <c r="C35" s="2">
        <v>34</v>
      </c>
      <c r="D35" s="2">
        <v>92.4</v>
      </c>
      <c r="E35" s="2">
        <v>34</v>
      </c>
      <c r="F35" s="2" t="str">
        <f t="shared" si="1"/>
        <v>92nd</v>
      </c>
    </row>
    <row r="36" spans="1:6" x14ac:dyDescent="0.2">
      <c r="A36" s="2" t="s">
        <v>119</v>
      </c>
      <c r="B36" s="2" t="s">
        <v>21</v>
      </c>
      <c r="C36" s="2">
        <v>35</v>
      </c>
      <c r="D36" s="2">
        <v>94.7</v>
      </c>
      <c r="E36" s="2">
        <v>35</v>
      </c>
      <c r="F36" s="2" t="str">
        <f t="shared" si="1"/>
        <v>95th</v>
      </c>
    </row>
    <row r="37" spans="1:6" x14ac:dyDescent="0.2">
      <c r="A37" s="2" t="s">
        <v>119</v>
      </c>
      <c r="B37" s="2" t="s">
        <v>21</v>
      </c>
      <c r="C37" s="2">
        <v>36</v>
      </c>
      <c r="D37" s="2">
        <v>96.5</v>
      </c>
      <c r="E37" s="2">
        <v>36</v>
      </c>
      <c r="F37" s="2" t="str">
        <f t="shared" si="1"/>
        <v>97th</v>
      </c>
    </row>
    <row r="38" spans="1:6" x14ac:dyDescent="0.2">
      <c r="A38" s="2" t="s">
        <v>119</v>
      </c>
      <c r="B38" s="2" t="s">
        <v>21</v>
      </c>
      <c r="C38" s="2">
        <v>37</v>
      </c>
      <c r="D38" s="2">
        <v>97.8</v>
      </c>
      <c r="E38" s="2">
        <v>37</v>
      </c>
      <c r="F38" s="2" t="str">
        <f t="shared" si="1"/>
        <v>98th</v>
      </c>
    </row>
    <row r="39" spans="1:6" x14ac:dyDescent="0.2">
      <c r="A39" s="2" t="s">
        <v>119</v>
      </c>
      <c r="B39" s="2" t="s">
        <v>21</v>
      </c>
      <c r="C39" s="2">
        <v>38</v>
      </c>
      <c r="D39" s="2">
        <v>98.7</v>
      </c>
      <c r="E39" s="2">
        <v>38</v>
      </c>
      <c r="F39" s="2" t="str">
        <f t="shared" si="1"/>
        <v>99th</v>
      </c>
    </row>
    <row r="40" spans="1:6" x14ac:dyDescent="0.2">
      <c r="A40" s="2" t="s">
        <v>119</v>
      </c>
      <c r="B40" s="2" t="s">
        <v>21</v>
      </c>
      <c r="C40" s="2">
        <v>39</v>
      </c>
      <c r="D40" s="2">
        <v>99.3</v>
      </c>
      <c r="E40" s="2">
        <v>39</v>
      </c>
      <c r="F40" s="2" t="str">
        <f t="shared" si="1"/>
        <v>99th</v>
      </c>
    </row>
    <row r="41" spans="1:6" x14ac:dyDescent="0.2">
      <c r="A41" s="2" t="s">
        <v>119</v>
      </c>
      <c r="B41" s="2" t="s">
        <v>21</v>
      </c>
      <c r="C41" s="2">
        <v>40</v>
      </c>
      <c r="D41" s="2">
        <v>99.6</v>
      </c>
      <c r="E41" s="2">
        <v>40</v>
      </c>
      <c r="F41" s="2" t="str">
        <f t="shared" si="1"/>
        <v>100th</v>
      </c>
    </row>
    <row r="42" spans="1:6" x14ac:dyDescent="0.2">
      <c r="A42" s="2" t="s">
        <v>119</v>
      </c>
      <c r="B42" s="2" t="s">
        <v>21</v>
      </c>
      <c r="C42" s="2">
        <v>41</v>
      </c>
      <c r="D42" s="2">
        <v>99.9</v>
      </c>
      <c r="E42" s="2">
        <v>41</v>
      </c>
      <c r="F42" s="2" t="str">
        <f t="shared" si="1"/>
        <v>100th</v>
      </c>
    </row>
    <row r="43" spans="1:6" x14ac:dyDescent="0.2">
      <c r="A43" s="2" t="s">
        <v>119</v>
      </c>
      <c r="B43" s="2" t="s">
        <v>21</v>
      </c>
      <c r="C43" s="2">
        <v>42</v>
      </c>
      <c r="D43" s="2">
        <v>99.9</v>
      </c>
      <c r="E43" s="2">
        <v>42</v>
      </c>
      <c r="F43" s="2" t="str">
        <f t="shared" si="1"/>
        <v>100th</v>
      </c>
    </row>
    <row r="44" spans="1:6" x14ac:dyDescent="0.2">
      <c r="A44" s="2" t="s">
        <v>119</v>
      </c>
      <c r="B44" s="2" t="s">
        <v>21</v>
      </c>
      <c r="C44" s="2">
        <v>43</v>
      </c>
      <c r="D44" s="2">
        <v>99.9</v>
      </c>
      <c r="E44" s="2">
        <v>43</v>
      </c>
      <c r="F44" s="2" t="str">
        <f t="shared" si="1"/>
        <v>100th</v>
      </c>
    </row>
    <row r="45" spans="1:6" x14ac:dyDescent="0.2">
      <c r="A45" s="2" t="s">
        <v>119</v>
      </c>
      <c r="B45" s="2" t="s">
        <v>21</v>
      </c>
      <c r="C45" s="2">
        <v>44</v>
      </c>
      <c r="D45" s="2">
        <v>99.9</v>
      </c>
      <c r="E45" s="2">
        <v>44</v>
      </c>
      <c r="F45" s="2" t="str">
        <f t="shared" si="1"/>
        <v>100th</v>
      </c>
    </row>
    <row r="46" spans="1:6" x14ac:dyDescent="0.2">
      <c r="A46" s="2" t="s">
        <v>119</v>
      </c>
      <c r="B46" s="2" t="s">
        <v>21</v>
      </c>
      <c r="C46" s="2">
        <v>45</v>
      </c>
      <c r="D46" s="2">
        <v>99.9</v>
      </c>
      <c r="E46" s="2">
        <v>45</v>
      </c>
      <c r="F46" s="2" t="str">
        <f t="shared" si="1"/>
        <v>100th</v>
      </c>
    </row>
    <row r="47" spans="1:6" x14ac:dyDescent="0.2">
      <c r="A47" s="2" t="s">
        <v>119</v>
      </c>
      <c r="B47" s="2" t="s">
        <v>3</v>
      </c>
      <c r="C47" s="2">
        <v>0</v>
      </c>
      <c r="D47" s="2">
        <v>0.1</v>
      </c>
      <c r="E47" s="2">
        <v>1</v>
      </c>
      <c r="F47" s="2" t="str">
        <f t="shared" ref="F47:F57" si="2">IF(RIGHT(ROUND(D47,0),2)="13",ROUND(D47,0)&amp;"th",IF(RIGHT(ROUND(D47,0),2)="12",ROUND(D47,0)&amp;"th",IF(RIGHT(ROUND(D47,0),2)="11",ROUND(D47,0)&amp;"th",IF(RIGHT(ROUND(D47,0),1)="1",ROUND(D47,0)&amp;"st",IF(RIGHT(ROUND(D47,0),1)="2",ROUND(D47,0)&amp;"nd",IF(RIGHT(ROUND(D47,0),1)="3",ROUND(D47,0)&amp;"rd",ROUND(D47,0)&amp;"th"))))))</f>
        <v>0th</v>
      </c>
    </row>
    <row r="48" spans="1:6" x14ac:dyDescent="0.2">
      <c r="A48" s="2" t="s">
        <v>119</v>
      </c>
      <c r="B48" s="2" t="s">
        <v>3</v>
      </c>
      <c r="C48" s="2">
        <v>1</v>
      </c>
      <c r="D48" s="2">
        <v>0.1</v>
      </c>
      <c r="E48" s="2">
        <v>1</v>
      </c>
      <c r="F48" s="2" t="str">
        <f t="shared" si="2"/>
        <v>0th</v>
      </c>
    </row>
    <row r="49" spans="1:6" x14ac:dyDescent="0.2">
      <c r="A49" s="2" t="s">
        <v>119</v>
      </c>
      <c r="B49" s="2" t="s">
        <v>3</v>
      </c>
      <c r="C49" s="2">
        <v>2</v>
      </c>
      <c r="D49" s="2">
        <v>0.1</v>
      </c>
      <c r="E49" s="2">
        <v>1</v>
      </c>
      <c r="F49" s="2" t="str">
        <f t="shared" si="2"/>
        <v>0th</v>
      </c>
    </row>
    <row r="50" spans="1:6" x14ac:dyDescent="0.2">
      <c r="A50" s="2" t="s">
        <v>119</v>
      </c>
      <c r="B50" s="2" t="s">
        <v>3</v>
      </c>
      <c r="C50" s="2">
        <v>3</v>
      </c>
      <c r="D50" s="2">
        <v>0.1</v>
      </c>
      <c r="E50" s="2">
        <v>1</v>
      </c>
      <c r="F50" s="2" t="str">
        <f t="shared" si="2"/>
        <v>0th</v>
      </c>
    </row>
    <row r="51" spans="1:6" x14ac:dyDescent="0.2">
      <c r="A51" s="2" t="s">
        <v>119</v>
      </c>
      <c r="B51" s="2" t="s">
        <v>3</v>
      </c>
      <c r="C51" s="2">
        <v>4</v>
      </c>
      <c r="D51" s="2">
        <v>0.1</v>
      </c>
      <c r="E51" s="2">
        <v>1</v>
      </c>
      <c r="F51" s="2" t="str">
        <f t="shared" si="2"/>
        <v>0th</v>
      </c>
    </row>
    <row r="52" spans="1:6" x14ac:dyDescent="0.2">
      <c r="A52" s="2" t="s">
        <v>119</v>
      </c>
      <c r="B52" s="2" t="s">
        <v>3</v>
      </c>
      <c r="C52" s="2">
        <v>5</v>
      </c>
      <c r="D52" s="2">
        <v>0.1</v>
      </c>
      <c r="E52" s="2">
        <v>1</v>
      </c>
      <c r="F52" s="2" t="str">
        <f t="shared" si="2"/>
        <v>0th</v>
      </c>
    </row>
    <row r="53" spans="1:6" x14ac:dyDescent="0.2">
      <c r="A53" s="2" t="s">
        <v>119</v>
      </c>
      <c r="B53" s="2" t="s">
        <v>3</v>
      </c>
      <c r="C53" s="2">
        <v>6</v>
      </c>
      <c r="D53" s="2">
        <v>0.3</v>
      </c>
      <c r="E53" s="2">
        <v>2</v>
      </c>
      <c r="F53" s="2" t="str">
        <f t="shared" si="2"/>
        <v>0th</v>
      </c>
    </row>
    <row r="54" spans="1:6" x14ac:dyDescent="0.2">
      <c r="A54" s="2" t="s">
        <v>119</v>
      </c>
      <c r="B54" s="2" t="s">
        <v>3</v>
      </c>
      <c r="C54" s="2">
        <v>7</v>
      </c>
      <c r="D54" s="2">
        <v>0.3</v>
      </c>
      <c r="E54" s="2">
        <v>2</v>
      </c>
      <c r="F54" s="2" t="str">
        <f t="shared" si="2"/>
        <v>0th</v>
      </c>
    </row>
    <row r="55" spans="1:6" x14ac:dyDescent="0.2">
      <c r="A55" s="2" t="s">
        <v>119</v>
      </c>
      <c r="B55" s="2" t="s">
        <v>3</v>
      </c>
      <c r="C55" s="2">
        <v>8</v>
      </c>
      <c r="D55" s="2">
        <v>0.3</v>
      </c>
      <c r="E55" s="2">
        <v>2</v>
      </c>
      <c r="F55" s="2" t="str">
        <f t="shared" si="2"/>
        <v>0th</v>
      </c>
    </row>
    <row r="56" spans="1:6" x14ac:dyDescent="0.2">
      <c r="A56" s="2" t="s">
        <v>119</v>
      </c>
      <c r="B56" s="2" t="s">
        <v>3</v>
      </c>
      <c r="C56" s="2">
        <v>9</v>
      </c>
      <c r="D56" s="2">
        <v>0.3</v>
      </c>
      <c r="E56" s="2">
        <v>2</v>
      </c>
      <c r="F56" s="2" t="str">
        <f t="shared" si="2"/>
        <v>0th</v>
      </c>
    </row>
    <row r="57" spans="1:6" x14ac:dyDescent="0.2">
      <c r="A57" s="2" t="s">
        <v>119</v>
      </c>
      <c r="B57" s="2" t="s">
        <v>3</v>
      </c>
      <c r="C57" s="2">
        <v>10</v>
      </c>
      <c r="D57" s="2">
        <v>1.2</v>
      </c>
      <c r="E57" s="2">
        <v>3</v>
      </c>
      <c r="F57" s="2" t="str">
        <f t="shared" si="2"/>
        <v>1st</v>
      </c>
    </row>
    <row r="58" spans="1:6" x14ac:dyDescent="0.2">
      <c r="A58" s="2" t="s">
        <v>119</v>
      </c>
      <c r="B58" s="2" t="s">
        <v>3</v>
      </c>
      <c r="C58" s="2">
        <v>11</v>
      </c>
      <c r="D58" s="2">
        <v>1.2</v>
      </c>
      <c r="E58" s="2">
        <v>3</v>
      </c>
      <c r="F58" s="2" t="str">
        <f t="shared" ref="F58:F121" si="3">IF(RIGHT(ROUND(D58,0),2)="13",ROUND(D58,0)&amp;"th",IF(RIGHT(ROUND(D58,0),2)="12",ROUND(D58,0)&amp;"th",IF(RIGHT(ROUND(D58,0),2)="11",ROUND(D58,0)&amp;"th",IF(RIGHT(ROUND(D58,0),1)="1",ROUND(D58,0)&amp;"st",IF(RIGHT(ROUND(D58,0),1)="2",ROUND(D58,0)&amp;"nd",IF(RIGHT(ROUND(D58,0),1)="3",ROUND(D58,0)&amp;"rd",ROUND(D58,0)&amp;"th"))))))</f>
        <v>1st</v>
      </c>
    </row>
    <row r="59" spans="1:6" x14ac:dyDescent="0.2">
      <c r="A59" s="2" t="s">
        <v>119</v>
      </c>
      <c r="B59" s="2" t="s">
        <v>3</v>
      </c>
      <c r="C59" s="2">
        <v>12</v>
      </c>
      <c r="D59" s="2">
        <v>1.2</v>
      </c>
      <c r="E59" s="2">
        <v>3</v>
      </c>
      <c r="F59" s="2" t="str">
        <f t="shared" si="3"/>
        <v>1st</v>
      </c>
    </row>
    <row r="60" spans="1:6" x14ac:dyDescent="0.2">
      <c r="A60" s="2" t="s">
        <v>119</v>
      </c>
      <c r="B60" s="2" t="s">
        <v>3</v>
      </c>
      <c r="C60" s="2">
        <v>13</v>
      </c>
      <c r="D60" s="2">
        <v>3.4</v>
      </c>
      <c r="E60" s="2">
        <v>4</v>
      </c>
      <c r="F60" s="2" t="str">
        <f t="shared" si="3"/>
        <v>3rd</v>
      </c>
    </row>
    <row r="61" spans="1:6" x14ac:dyDescent="0.2">
      <c r="A61" s="2" t="s">
        <v>119</v>
      </c>
      <c r="B61" s="2" t="s">
        <v>3</v>
      </c>
      <c r="C61" s="2">
        <v>14</v>
      </c>
      <c r="D61" s="2">
        <v>3.4</v>
      </c>
      <c r="E61" s="2">
        <v>4</v>
      </c>
      <c r="F61" s="2" t="str">
        <f t="shared" si="3"/>
        <v>3rd</v>
      </c>
    </row>
    <row r="62" spans="1:6" x14ac:dyDescent="0.2">
      <c r="A62" s="2" t="s">
        <v>119</v>
      </c>
      <c r="B62" s="2" t="s">
        <v>3</v>
      </c>
      <c r="C62" s="2">
        <v>15</v>
      </c>
      <c r="D62" s="2">
        <v>8.1</v>
      </c>
      <c r="E62" s="2">
        <v>5</v>
      </c>
      <c r="F62" s="2" t="str">
        <f t="shared" si="3"/>
        <v>8th</v>
      </c>
    </row>
    <row r="63" spans="1:6" x14ac:dyDescent="0.2">
      <c r="A63" s="2" t="s">
        <v>119</v>
      </c>
      <c r="B63" s="2" t="s">
        <v>3</v>
      </c>
      <c r="C63" s="2">
        <v>16</v>
      </c>
      <c r="D63" s="2">
        <v>8.1</v>
      </c>
      <c r="E63" s="2">
        <v>5</v>
      </c>
      <c r="F63" s="2" t="str">
        <f t="shared" si="3"/>
        <v>8th</v>
      </c>
    </row>
    <row r="64" spans="1:6" x14ac:dyDescent="0.2">
      <c r="A64" s="2" t="s">
        <v>119</v>
      </c>
      <c r="B64" s="2" t="s">
        <v>3</v>
      </c>
      <c r="C64" s="2">
        <v>17</v>
      </c>
      <c r="D64" s="2">
        <v>17.399999999999999</v>
      </c>
      <c r="E64" s="2">
        <v>6</v>
      </c>
      <c r="F64" s="2" t="str">
        <f t="shared" si="3"/>
        <v>17th</v>
      </c>
    </row>
    <row r="65" spans="1:6" x14ac:dyDescent="0.2">
      <c r="A65" s="2" t="s">
        <v>119</v>
      </c>
      <c r="B65" s="2" t="s">
        <v>3</v>
      </c>
      <c r="C65" s="2">
        <v>18</v>
      </c>
      <c r="D65" s="2">
        <v>17.399999999999999</v>
      </c>
      <c r="E65" s="2">
        <v>6</v>
      </c>
      <c r="F65" s="2" t="str">
        <f t="shared" si="3"/>
        <v>17th</v>
      </c>
    </row>
    <row r="66" spans="1:6" x14ac:dyDescent="0.2">
      <c r="A66" s="2" t="s">
        <v>119</v>
      </c>
      <c r="B66" s="2" t="s">
        <v>3</v>
      </c>
      <c r="C66" s="2">
        <v>19</v>
      </c>
      <c r="D66" s="2">
        <v>17.399999999999999</v>
      </c>
      <c r="E66" s="2">
        <v>6</v>
      </c>
      <c r="F66" s="2" t="str">
        <f t="shared" si="3"/>
        <v>17th</v>
      </c>
    </row>
    <row r="67" spans="1:6" x14ac:dyDescent="0.2">
      <c r="A67" s="2" t="s">
        <v>119</v>
      </c>
      <c r="B67" s="2" t="s">
        <v>3</v>
      </c>
      <c r="C67" s="2">
        <v>20</v>
      </c>
      <c r="D67" s="2">
        <v>31</v>
      </c>
      <c r="E67" s="2">
        <v>7</v>
      </c>
      <c r="F67" s="2" t="str">
        <f t="shared" si="3"/>
        <v>31st</v>
      </c>
    </row>
    <row r="68" spans="1:6" x14ac:dyDescent="0.2">
      <c r="A68" s="2" t="s">
        <v>119</v>
      </c>
      <c r="B68" s="2" t="s">
        <v>3</v>
      </c>
      <c r="C68" s="2">
        <v>21</v>
      </c>
      <c r="D68" s="2">
        <v>31</v>
      </c>
      <c r="E68" s="2">
        <v>7</v>
      </c>
      <c r="F68" s="2" t="str">
        <f t="shared" si="3"/>
        <v>31st</v>
      </c>
    </row>
    <row r="69" spans="1:6" x14ac:dyDescent="0.2">
      <c r="A69" s="2" t="s">
        <v>119</v>
      </c>
      <c r="B69" s="2" t="s">
        <v>3</v>
      </c>
      <c r="C69" s="2">
        <v>22</v>
      </c>
      <c r="D69" s="2">
        <v>31</v>
      </c>
      <c r="E69" s="2">
        <v>7</v>
      </c>
      <c r="F69" s="2" t="str">
        <f t="shared" si="3"/>
        <v>31st</v>
      </c>
    </row>
    <row r="70" spans="1:6" x14ac:dyDescent="0.2">
      <c r="A70" s="2" t="s">
        <v>119</v>
      </c>
      <c r="B70" s="2" t="s">
        <v>3</v>
      </c>
      <c r="C70" s="2">
        <v>23</v>
      </c>
      <c r="D70" s="2">
        <v>47.6</v>
      </c>
      <c r="E70" s="2">
        <v>8</v>
      </c>
      <c r="F70" s="2" t="str">
        <f t="shared" si="3"/>
        <v>48th</v>
      </c>
    </row>
    <row r="71" spans="1:6" x14ac:dyDescent="0.2">
      <c r="A71" s="2" t="s">
        <v>119</v>
      </c>
      <c r="B71" s="2" t="s">
        <v>3</v>
      </c>
      <c r="C71" s="2">
        <v>24</v>
      </c>
      <c r="D71" s="2">
        <v>47.6</v>
      </c>
      <c r="E71" s="2">
        <v>8</v>
      </c>
      <c r="F71" s="2" t="str">
        <f t="shared" si="3"/>
        <v>48th</v>
      </c>
    </row>
    <row r="72" spans="1:6" x14ac:dyDescent="0.2">
      <c r="A72" s="2" t="s">
        <v>119</v>
      </c>
      <c r="B72" s="2" t="s">
        <v>3</v>
      </c>
      <c r="C72" s="2">
        <v>25</v>
      </c>
      <c r="D72" s="2">
        <v>47.6</v>
      </c>
      <c r="E72" s="2">
        <v>8</v>
      </c>
      <c r="F72" s="2" t="str">
        <f t="shared" si="3"/>
        <v>48th</v>
      </c>
    </row>
    <row r="73" spans="1:6" x14ac:dyDescent="0.2">
      <c r="A73" s="2" t="s">
        <v>119</v>
      </c>
      <c r="B73" s="2" t="s">
        <v>3</v>
      </c>
      <c r="C73" s="2">
        <v>26</v>
      </c>
      <c r="D73" s="2">
        <v>61.6</v>
      </c>
      <c r="E73" s="2">
        <v>9</v>
      </c>
      <c r="F73" s="2" t="str">
        <f t="shared" si="3"/>
        <v>62nd</v>
      </c>
    </row>
    <row r="74" spans="1:6" x14ac:dyDescent="0.2">
      <c r="A74" s="2" t="s">
        <v>119</v>
      </c>
      <c r="B74" s="2" t="s">
        <v>3</v>
      </c>
      <c r="C74" s="2">
        <v>27</v>
      </c>
      <c r="D74" s="2">
        <v>61.6</v>
      </c>
      <c r="E74" s="2">
        <v>9</v>
      </c>
      <c r="F74" s="2" t="str">
        <f t="shared" si="3"/>
        <v>62nd</v>
      </c>
    </row>
    <row r="75" spans="1:6" x14ac:dyDescent="0.2">
      <c r="A75" s="2" t="s">
        <v>119</v>
      </c>
      <c r="B75" s="2" t="s">
        <v>3</v>
      </c>
      <c r="C75" s="2">
        <v>28</v>
      </c>
      <c r="D75" s="2">
        <v>61.6</v>
      </c>
      <c r="E75" s="2">
        <v>9</v>
      </c>
      <c r="F75" s="2" t="str">
        <f t="shared" si="3"/>
        <v>62nd</v>
      </c>
    </row>
    <row r="76" spans="1:6" x14ac:dyDescent="0.2">
      <c r="A76" s="2" t="s">
        <v>119</v>
      </c>
      <c r="B76" s="2" t="s">
        <v>3</v>
      </c>
      <c r="C76" s="2">
        <v>29</v>
      </c>
      <c r="D76" s="2">
        <v>61.6</v>
      </c>
      <c r="E76" s="2">
        <v>9</v>
      </c>
      <c r="F76" s="2" t="str">
        <f t="shared" si="3"/>
        <v>62nd</v>
      </c>
    </row>
    <row r="77" spans="1:6" x14ac:dyDescent="0.2">
      <c r="A77" s="2" t="s">
        <v>119</v>
      </c>
      <c r="B77" s="2" t="s">
        <v>3</v>
      </c>
      <c r="C77" s="2">
        <v>30</v>
      </c>
      <c r="D77" s="2">
        <v>74</v>
      </c>
      <c r="E77" s="2">
        <v>10</v>
      </c>
      <c r="F77" s="2" t="str">
        <f t="shared" si="3"/>
        <v>74th</v>
      </c>
    </row>
    <row r="78" spans="1:6" x14ac:dyDescent="0.2">
      <c r="A78" s="2" t="s">
        <v>119</v>
      </c>
      <c r="B78" s="2" t="s">
        <v>3</v>
      </c>
      <c r="C78" s="2">
        <v>31</v>
      </c>
      <c r="D78" s="2">
        <v>74</v>
      </c>
      <c r="E78" s="2">
        <v>10</v>
      </c>
      <c r="F78" s="2" t="str">
        <f t="shared" si="3"/>
        <v>74th</v>
      </c>
    </row>
    <row r="79" spans="1:6" x14ac:dyDescent="0.2">
      <c r="A79" s="2" t="s">
        <v>119</v>
      </c>
      <c r="B79" s="2" t="s">
        <v>3</v>
      </c>
      <c r="C79" s="2">
        <v>32</v>
      </c>
      <c r="D79" s="2">
        <v>74</v>
      </c>
      <c r="E79" s="2">
        <v>10</v>
      </c>
      <c r="F79" s="2" t="str">
        <f t="shared" si="3"/>
        <v>74th</v>
      </c>
    </row>
    <row r="80" spans="1:6" x14ac:dyDescent="0.2">
      <c r="A80" s="2" t="s">
        <v>119</v>
      </c>
      <c r="B80" s="2" t="s">
        <v>3</v>
      </c>
      <c r="C80" s="2">
        <v>33</v>
      </c>
      <c r="D80" s="2">
        <v>74</v>
      </c>
      <c r="E80" s="2">
        <v>10</v>
      </c>
      <c r="F80" s="2" t="str">
        <f t="shared" si="3"/>
        <v>74th</v>
      </c>
    </row>
    <row r="81" spans="1:6" x14ac:dyDescent="0.2">
      <c r="A81" s="2" t="s">
        <v>119</v>
      </c>
      <c r="B81" s="2" t="s">
        <v>3</v>
      </c>
      <c r="C81" s="2">
        <v>34</v>
      </c>
      <c r="D81" s="2">
        <v>84.8</v>
      </c>
      <c r="E81" s="2">
        <v>11</v>
      </c>
      <c r="F81" s="2" t="str">
        <f t="shared" si="3"/>
        <v>85th</v>
      </c>
    </row>
    <row r="82" spans="1:6" x14ac:dyDescent="0.2">
      <c r="A82" s="2" t="s">
        <v>119</v>
      </c>
      <c r="B82" s="2" t="s">
        <v>3</v>
      </c>
      <c r="C82" s="2">
        <v>35</v>
      </c>
      <c r="D82" s="2">
        <v>84.8</v>
      </c>
      <c r="E82" s="2">
        <v>11</v>
      </c>
      <c r="F82" s="2" t="str">
        <f t="shared" si="3"/>
        <v>85th</v>
      </c>
    </row>
    <row r="83" spans="1:6" x14ac:dyDescent="0.2">
      <c r="A83" s="2" t="s">
        <v>119</v>
      </c>
      <c r="B83" s="2" t="s">
        <v>3</v>
      </c>
      <c r="C83" s="2">
        <v>36</v>
      </c>
      <c r="D83" s="2">
        <v>84.8</v>
      </c>
      <c r="E83" s="2">
        <v>11</v>
      </c>
      <c r="F83" s="2" t="str">
        <f t="shared" si="3"/>
        <v>85th</v>
      </c>
    </row>
    <row r="84" spans="1:6" x14ac:dyDescent="0.2">
      <c r="A84" s="2" t="s">
        <v>119</v>
      </c>
      <c r="B84" s="2" t="s">
        <v>3</v>
      </c>
      <c r="C84" s="2">
        <v>37</v>
      </c>
      <c r="D84" s="2">
        <v>91.9</v>
      </c>
      <c r="E84" s="2">
        <v>12</v>
      </c>
      <c r="F84" s="2" t="str">
        <f t="shared" si="3"/>
        <v>92nd</v>
      </c>
    </row>
    <row r="85" spans="1:6" x14ac:dyDescent="0.2">
      <c r="A85" s="2" t="s">
        <v>119</v>
      </c>
      <c r="B85" s="2" t="s">
        <v>3</v>
      </c>
      <c r="C85" s="2">
        <v>38</v>
      </c>
      <c r="D85" s="2">
        <v>91.9</v>
      </c>
      <c r="E85" s="2">
        <v>12</v>
      </c>
      <c r="F85" s="2" t="str">
        <f t="shared" si="3"/>
        <v>92nd</v>
      </c>
    </row>
    <row r="86" spans="1:6" x14ac:dyDescent="0.2">
      <c r="A86" s="2" t="s">
        <v>119</v>
      </c>
      <c r="B86" s="2" t="s">
        <v>3</v>
      </c>
      <c r="C86" s="2">
        <v>39</v>
      </c>
      <c r="D86" s="2">
        <v>91.9</v>
      </c>
      <c r="E86" s="2">
        <v>12</v>
      </c>
      <c r="F86" s="2" t="str">
        <f t="shared" si="3"/>
        <v>92nd</v>
      </c>
    </row>
    <row r="87" spans="1:6" x14ac:dyDescent="0.2">
      <c r="A87" s="2" t="s">
        <v>119</v>
      </c>
      <c r="B87" s="2" t="s">
        <v>3</v>
      </c>
      <c r="C87" s="2">
        <v>40</v>
      </c>
      <c r="D87" s="2">
        <v>96.4</v>
      </c>
      <c r="E87" s="2">
        <v>13</v>
      </c>
      <c r="F87" s="2" t="str">
        <f t="shared" si="3"/>
        <v>96th</v>
      </c>
    </row>
    <row r="88" spans="1:6" x14ac:dyDescent="0.2">
      <c r="A88" s="2" t="s">
        <v>119</v>
      </c>
      <c r="B88" s="2" t="s">
        <v>3</v>
      </c>
      <c r="C88" s="2">
        <v>41</v>
      </c>
      <c r="D88" s="2">
        <v>96.4</v>
      </c>
      <c r="E88" s="2">
        <v>13</v>
      </c>
      <c r="F88" s="2" t="str">
        <f t="shared" si="3"/>
        <v>96th</v>
      </c>
    </row>
    <row r="89" spans="1:6" x14ac:dyDescent="0.2">
      <c r="A89" s="2" t="s">
        <v>119</v>
      </c>
      <c r="B89" s="2" t="s">
        <v>3</v>
      </c>
      <c r="C89" s="2">
        <v>42</v>
      </c>
      <c r="D89" s="2">
        <v>96.4</v>
      </c>
      <c r="E89" s="2">
        <v>13</v>
      </c>
      <c r="F89" s="2" t="str">
        <f t="shared" si="3"/>
        <v>96th</v>
      </c>
    </row>
    <row r="90" spans="1:6" x14ac:dyDescent="0.2">
      <c r="A90" s="2" t="s">
        <v>119</v>
      </c>
      <c r="B90" s="2" t="s">
        <v>3</v>
      </c>
      <c r="C90" s="2">
        <v>43</v>
      </c>
      <c r="D90" s="2">
        <v>98.9</v>
      </c>
      <c r="E90" s="2">
        <v>14</v>
      </c>
      <c r="F90" s="2" t="str">
        <f t="shared" si="3"/>
        <v>99th</v>
      </c>
    </row>
    <row r="91" spans="1:6" x14ac:dyDescent="0.2">
      <c r="A91" s="2" t="s">
        <v>119</v>
      </c>
      <c r="B91" s="2" t="s">
        <v>3</v>
      </c>
      <c r="C91" s="2">
        <v>44</v>
      </c>
      <c r="D91" s="2">
        <v>98.9</v>
      </c>
      <c r="E91" s="2">
        <v>14</v>
      </c>
      <c r="F91" s="2" t="str">
        <f t="shared" si="3"/>
        <v>99th</v>
      </c>
    </row>
    <row r="92" spans="1:6" x14ac:dyDescent="0.2">
      <c r="A92" s="2" t="s">
        <v>119</v>
      </c>
      <c r="B92" s="2" t="s">
        <v>3</v>
      </c>
      <c r="C92" s="2">
        <v>45</v>
      </c>
      <c r="D92" s="2">
        <v>98.9</v>
      </c>
      <c r="E92" s="2">
        <v>14</v>
      </c>
      <c r="F92" s="2" t="str">
        <f t="shared" si="3"/>
        <v>99th</v>
      </c>
    </row>
    <row r="93" spans="1:6" x14ac:dyDescent="0.2">
      <c r="A93" s="2" t="s">
        <v>119</v>
      </c>
      <c r="B93" s="2" t="s">
        <v>3</v>
      </c>
      <c r="C93" s="2">
        <v>46</v>
      </c>
      <c r="D93" s="2">
        <v>98.9</v>
      </c>
      <c r="E93" s="2">
        <v>14</v>
      </c>
      <c r="F93" s="2" t="str">
        <f t="shared" si="3"/>
        <v>99th</v>
      </c>
    </row>
    <row r="94" spans="1:6" x14ac:dyDescent="0.2">
      <c r="A94" s="2" t="s">
        <v>119</v>
      </c>
      <c r="B94" s="2" t="s">
        <v>3</v>
      </c>
      <c r="C94" s="2">
        <v>47</v>
      </c>
      <c r="D94" s="2">
        <v>98.9</v>
      </c>
      <c r="E94" s="2">
        <v>14</v>
      </c>
      <c r="F94" s="2" t="str">
        <f t="shared" si="3"/>
        <v>99th</v>
      </c>
    </row>
    <row r="95" spans="1:6" x14ac:dyDescent="0.2">
      <c r="A95" s="2" t="s">
        <v>119</v>
      </c>
      <c r="B95" s="2" t="s">
        <v>3</v>
      </c>
      <c r="C95" s="2">
        <v>48</v>
      </c>
      <c r="D95" s="2">
        <v>98.9</v>
      </c>
      <c r="E95" s="2">
        <v>14</v>
      </c>
      <c r="F95" s="2" t="str">
        <f t="shared" si="3"/>
        <v>99th</v>
      </c>
    </row>
    <row r="96" spans="1:6" x14ac:dyDescent="0.2">
      <c r="A96" s="2" t="s">
        <v>119</v>
      </c>
      <c r="B96" s="2" t="s">
        <v>3</v>
      </c>
      <c r="C96" s="2">
        <v>49</v>
      </c>
      <c r="D96" s="2">
        <v>99.8</v>
      </c>
      <c r="E96" s="2">
        <v>15</v>
      </c>
      <c r="F96" s="2" t="str">
        <f t="shared" si="3"/>
        <v>100th</v>
      </c>
    </row>
    <row r="97" spans="1:6" x14ac:dyDescent="0.2">
      <c r="A97" s="2" t="s">
        <v>119</v>
      </c>
      <c r="B97" s="2" t="s">
        <v>3</v>
      </c>
      <c r="C97" s="2">
        <v>50</v>
      </c>
      <c r="D97" s="2">
        <v>99.8</v>
      </c>
      <c r="E97" s="2">
        <v>15</v>
      </c>
      <c r="F97" s="2" t="str">
        <f t="shared" si="3"/>
        <v>100th</v>
      </c>
    </row>
    <row r="98" spans="1:6" x14ac:dyDescent="0.2">
      <c r="A98" s="2" t="s">
        <v>119</v>
      </c>
      <c r="B98" s="2" t="s">
        <v>3</v>
      </c>
      <c r="C98" s="2">
        <v>51</v>
      </c>
      <c r="D98" s="2">
        <v>99.8</v>
      </c>
      <c r="E98" s="2">
        <v>15</v>
      </c>
      <c r="F98" s="2" t="str">
        <f t="shared" si="3"/>
        <v>100th</v>
      </c>
    </row>
    <row r="99" spans="1:6" x14ac:dyDescent="0.2">
      <c r="A99" s="2" t="s">
        <v>119</v>
      </c>
      <c r="B99" s="2" t="s">
        <v>3</v>
      </c>
      <c r="C99" s="2">
        <v>52</v>
      </c>
      <c r="D99" s="2">
        <v>99.8</v>
      </c>
      <c r="E99" s="2">
        <v>15</v>
      </c>
      <c r="F99" s="2" t="str">
        <f t="shared" si="3"/>
        <v>100th</v>
      </c>
    </row>
    <row r="100" spans="1:6" x14ac:dyDescent="0.2">
      <c r="A100" s="2" t="s">
        <v>119</v>
      </c>
      <c r="B100" s="2" t="s">
        <v>4</v>
      </c>
      <c r="C100" s="2">
        <v>0</v>
      </c>
      <c r="D100" s="2">
        <v>0.4</v>
      </c>
      <c r="E100" s="2">
        <v>1</v>
      </c>
      <c r="F100" s="2" t="str">
        <f t="shared" si="3"/>
        <v>0th</v>
      </c>
    </row>
    <row r="101" spans="1:6" x14ac:dyDescent="0.2">
      <c r="A101" s="2" t="s">
        <v>119</v>
      </c>
      <c r="B101" s="2" t="s">
        <v>4</v>
      </c>
      <c r="C101" s="2">
        <v>1</v>
      </c>
      <c r="D101" s="2">
        <v>0.4</v>
      </c>
      <c r="E101" s="2">
        <v>1</v>
      </c>
      <c r="F101" s="2" t="str">
        <f t="shared" si="3"/>
        <v>0th</v>
      </c>
    </row>
    <row r="102" spans="1:6" x14ac:dyDescent="0.2">
      <c r="A102" s="2" t="s">
        <v>119</v>
      </c>
      <c r="B102" s="2" t="s">
        <v>4</v>
      </c>
      <c r="C102" s="2">
        <v>2</v>
      </c>
      <c r="D102" s="2">
        <v>0.4</v>
      </c>
      <c r="E102" s="2">
        <v>1</v>
      </c>
      <c r="F102" s="2" t="str">
        <f t="shared" si="3"/>
        <v>0th</v>
      </c>
    </row>
    <row r="103" spans="1:6" x14ac:dyDescent="0.2">
      <c r="A103" s="2" t="s">
        <v>119</v>
      </c>
      <c r="B103" s="2" t="s">
        <v>4</v>
      </c>
      <c r="C103" s="2">
        <v>3</v>
      </c>
      <c r="D103" s="2">
        <v>0.4</v>
      </c>
      <c r="E103" s="2">
        <v>1</v>
      </c>
      <c r="F103" s="2" t="str">
        <f t="shared" si="3"/>
        <v>0th</v>
      </c>
    </row>
    <row r="104" spans="1:6" x14ac:dyDescent="0.2">
      <c r="A104" s="2" t="s">
        <v>119</v>
      </c>
      <c r="B104" s="2" t="s">
        <v>4</v>
      </c>
      <c r="C104" s="2">
        <v>4</v>
      </c>
      <c r="D104" s="2">
        <v>0.4</v>
      </c>
      <c r="E104" s="2">
        <v>1</v>
      </c>
      <c r="F104" s="2" t="str">
        <f t="shared" si="3"/>
        <v>0th</v>
      </c>
    </row>
    <row r="105" spans="1:6" x14ac:dyDescent="0.2">
      <c r="A105" s="2" t="s">
        <v>119</v>
      </c>
      <c r="B105" s="2" t="s">
        <v>4</v>
      </c>
      <c r="C105" s="2">
        <v>5</v>
      </c>
      <c r="D105" s="2">
        <v>0.4</v>
      </c>
      <c r="E105" s="2">
        <v>1</v>
      </c>
      <c r="F105" s="2" t="str">
        <f t="shared" si="3"/>
        <v>0th</v>
      </c>
    </row>
    <row r="106" spans="1:6" x14ac:dyDescent="0.2">
      <c r="A106" s="2" t="s">
        <v>119</v>
      </c>
      <c r="B106" s="2" t="s">
        <v>4</v>
      </c>
      <c r="C106" s="2">
        <v>6</v>
      </c>
      <c r="D106" s="2">
        <v>1.8</v>
      </c>
      <c r="E106" s="2">
        <v>2</v>
      </c>
      <c r="F106" s="2" t="str">
        <f t="shared" si="3"/>
        <v>2nd</v>
      </c>
    </row>
    <row r="107" spans="1:6" x14ac:dyDescent="0.2">
      <c r="A107" s="2" t="s">
        <v>119</v>
      </c>
      <c r="B107" s="2" t="s">
        <v>4</v>
      </c>
      <c r="C107" s="2">
        <v>7</v>
      </c>
      <c r="D107" s="2">
        <v>1.8</v>
      </c>
      <c r="E107" s="2">
        <v>2</v>
      </c>
      <c r="F107" s="2" t="str">
        <f t="shared" si="3"/>
        <v>2nd</v>
      </c>
    </row>
    <row r="108" spans="1:6" x14ac:dyDescent="0.2">
      <c r="A108" s="2" t="s">
        <v>119</v>
      </c>
      <c r="B108" s="2" t="s">
        <v>4</v>
      </c>
      <c r="C108" s="2">
        <v>8</v>
      </c>
      <c r="D108" s="2">
        <v>4.3</v>
      </c>
      <c r="E108" s="2">
        <v>3</v>
      </c>
      <c r="F108" s="2" t="str">
        <f t="shared" si="3"/>
        <v>4th</v>
      </c>
    </row>
    <row r="109" spans="1:6" x14ac:dyDescent="0.2">
      <c r="A109" s="2" t="s">
        <v>119</v>
      </c>
      <c r="B109" s="2" t="s">
        <v>4</v>
      </c>
      <c r="C109" s="2">
        <v>9</v>
      </c>
      <c r="D109" s="2">
        <v>4.3</v>
      </c>
      <c r="E109" s="2">
        <v>3</v>
      </c>
      <c r="F109" s="2" t="str">
        <f t="shared" si="3"/>
        <v>4th</v>
      </c>
    </row>
    <row r="110" spans="1:6" x14ac:dyDescent="0.2">
      <c r="A110" s="2" t="s">
        <v>119</v>
      </c>
      <c r="B110" s="2" t="s">
        <v>4</v>
      </c>
      <c r="C110" s="2">
        <v>10</v>
      </c>
      <c r="D110" s="2">
        <v>4.3</v>
      </c>
      <c r="E110" s="2">
        <v>3</v>
      </c>
      <c r="F110" s="2" t="str">
        <f t="shared" si="3"/>
        <v>4th</v>
      </c>
    </row>
    <row r="111" spans="1:6" x14ac:dyDescent="0.2">
      <c r="A111" s="2" t="s">
        <v>119</v>
      </c>
      <c r="B111" s="2" t="s">
        <v>4</v>
      </c>
      <c r="C111" s="2">
        <v>11</v>
      </c>
      <c r="D111" s="2">
        <v>8.3000000000000007</v>
      </c>
      <c r="E111" s="2">
        <v>4</v>
      </c>
      <c r="F111" s="2" t="str">
        <f t="shared" si="3"/>
        <v>8th</v>
      </c>
    </row>
    <row r="112" spans="1:6" x14ac:dyDescent="0.2">
      <c r="A112" s="2" t="s">
        <v>119</v>
      </c>
      <c r="B112" s="2" t="s">
        <v>4</v>
      </c>
      <c r="C112" s="2">
        <v>12</v>
      </c>
      <c r="D112" s="2">
        <v>8.3000000000000007</v>
      </c>
      <c r="E112" s="2">
        <v>4</v>
      </c>
      <c r="F112" s="2" t="str">
        <f t="shared" si="3"/>
        <v>8th</v>
      </c>
    </row>
    <row r="113" spans="1:6" x14ac:dyDescent="0.2">
      <c r="A113" s="2" t="s">
        <v>119</v>
      </c>
      <c r="B113" s="2" t="s">
        <v>4</v>
      </c>
      <c r="C113" s="2">
        <v>13</v>
      </c>
      <c r="D113" s="2">
        <v>8.3000000000000007</v>
      </c>
      <c r="E113" s="2">
        <v>4</v>
      </c>
      <c r="F113" s="2" t="str">
        <f t="shared" si="3"/>
        <v>8th</v>
      </c>
    </row>
    <row r="114" spans="1:6" x14ac:dyDescent="0.2">
      <c r="A114" s="2" t="s">
        <v>119</v>
      </c>
      <c r="B114" s="2" t="s">
        <v>4</v>
      </c>
      <c r="C114" s="2">
        <v>14</v>
      </c>
      <c r="D114" s="2">
        <v>13.7</v>
      </c>
      <c r="E114" s="2">
        <v>5</v>
      </c>
      <c r="F114" s="2" t="str">
        <f t="shared" si="3"/>
        <v>14th</v>
      </c>
    </row>
    <row r="115" spans="1:6" x14ac:dyDescent="0.2">
      <c r="A115" s="2" t="s">
        <v>119</v>
      </c>
      <c r="B115" s="2" t="s">
        <v>4</v>
      </c>
      <c r="C115" s="2">
        <v>15</v>
      </c>
      <c r="D115" s="2">
        <v>13.7</v>
      </c>
      <c r="E115" s="2">
        <v>5</v>
      </c>
      <c r="F115" s="2" t="str">
        <f t="shared" si="3"/>
        <v>14th</v>
      </c>
    </row>
    <row r="116" spans="1:6" x14ac:dyDescent="0.2">
      <c r="A116" s="2" t="s">
        <v>119</v>
      </c>
      <c r="B116" s="2" t="s">
        <v>4</v>
      </c>
      <c r="C116" s="2">
        <v>16</v>
      </c>
      <c r="D116" s="2">
        <v>13.7</v>
      </c>
      <c r="E116" s="2">
        <v>5</v>
      </c>
      <c r="F116" s="2" t="str">
        <f t="shared" si="3"/>
        <v>14th</v>
      </c>
    </row>
    <row r="117" spans="1:6" x14ac:dyDescent="0.2">
      <c r="A117" s="2" t="s">
        <v>119</v>
      </c>
      <c r="B117" s="2" t="s">
        <v>4</v>
      </c>
      <c r="C117" s="2">
        <v>17</v>
      </c>
      <c r="D117" s="2">
        <v>22.6</v>
      </c>
      <c r="E117" s="2">
        <v>6</v>
      </c>
      <c r="F117" s="2" t="str">
        <f t="shared" si="3"/>
        <v>23rd</v>
      </c>
    </row>
    <row r="118" spans="1:6" x14ac:dyDescent="0.2">
      <c r="A118" s="2" t="s">
        <v>119</v>
      </c>
      <c r="B118" s="2" t="s">
        <v>4</v>
      </c>
      <c r="C118" s="2">
        <v>18</v>
      </c>
      <c r="D118" s="2">
        <v>22.6</v>
      </c>
      <c r="E118" s="2">
        <v>6</v>
      </c>
      <c r="F118" s="2" t="str">
        <f t="shared" si="3"/>
        <v>23rd</v>
      </c>
    </row>
    <row r="119" spans="1:6" x14ac:dyDescent="0.2">
      <c r="A119" s="2" t="s">
        <v>119</v>
      </c>
      <c r="B119" s="2" t="s">
        <v>4</v>
      </c>
      <c r="C119" s="2">
        <v>19</v>
      </c>
      <c r="D119" s="2">
        <v>34</v>
      </c>
      <c r="E119" s="2">
        <v>7</v>
      </c>
      <c r="F119" s="2" t="str">
        <f t="shared" si="3"/>
        <v>34th</v>
      </c>
    </row>
    <row r="120" spans="1:6" x14ac:dyDescent="0.2">
      <c r="A120" s="2" t="s">
        <v>119</v>
      </c>
      <c r="B120" s="2" t="s">
        <v>4</v>
      </c>
      <c r="C120" s="2">
        <v>20</v>
      </c>
      <c r="D120" s="2">
        <v>34</v>
      </c>
      <c r="E120" s="2">
        <v>7</v>
      </c>
      <c r="F120" s="2" t="str">
        <f t="shared" si="3"/>
        <v>34th</v>
      </c>
    </row>
    <row r="121" spans="1:6" x14ac:dyDescent="0.2">
      <c r="A121" s="2" t="s">
        <v>119</v>
      </c>
      <c r="B121" s="2" t="s">
        <v>4</v>
      </c>
      <c r="C121" s="2">
        <v>21</v>
      </c>
      <c r="D121" s="2">
        <v>45.4</v>
      </c>
      <c r="E121" s="2">
        <v>8</v>
      </c>
      <c r="F121" s="2" t="str">
        <f t="shared" si="3"/>
        <v>45th</v>
      </c>
    </row>
    <row r="122" spans="1:6" x14ac:dyDescent="0.2">
      <c r="A122" s="2" t="s">
        <v>119</v>
      </c>
      <c r="B122" s="2" t="s">
        <v>4</v>
      </c>
      <c r="C122" s="2">
        <v>22</v>
      </c>
      <c r="D122" s="2">
        <v>45.4</v>
      </c>
      <c r="E122" s="2">
        <v>8</v>
      </c>
      <c r="F122" s="2" t="str">
        <f t="shared" ref="F122:F185" si="4">IF(RIGHT(ROUND(D122,0),2)="13",ROUND(D122,0)&amp;"th",IF(RIGHT(ROUND(D122,0),2)="12",ROUND(D122,0)&amp;"th",IF(RIGHT(ROUND(D122,0),2)="11",ROUND(D122,0)&amp;"th",IF(RIGHT(ROUND(D122,0),1)="1",ROUND(D122,0)&amp;"st",IF(RIGHT(ROUND(D122,0),1)="2",ROUND(D122,0)&amp;"nd",IF(RIGHT(ROUND(D122,0),1)="3",ROUND(D122,0)&amp;"rd",ROUND(D122,0)&amp;"th"))))))</f>
        <v>45th</v>
      </c>
    </row>
    <row r="123" spans="1:6" x14ac:dyDescent="0.2">
      <c r="A123" s="2" t="s">
        <v>119</v>
      </c>
      <c r="B123" s="2" t="s">
        <v>4</v>
      </c>
      <c r="C123" s="2">
        <v>23</v>
      </c>
      <c r="D123" s="2">
        <v>60.8</v>
      </c>
      <c r="E123" s="2">
        <v>9</v>
      </c>
      <c r="F123" s="2" t="str">
        <f t="shared" si="4"/>
        <v>61st</v>
      </c>
    </row>
    <row r="124" spans="1:6" x14ac:dyDescent="0.2">
      <c r="A124" s="2" t="s">
        <v>119</v>
      </c>
      <c r="B124" s="2" t="s">
        <v>4</v>
      </c>
      <c r="C124" s="2">
        <v>24</v>
      </c>
      <c r="D124" s="2">
        <v>60.8</v>
      </c>
      <c r="E124" s="2">
        <v>9</v>
      </c>
      <c r="F124" s="2" t="str">
        <f t="shared" si="4"/>
        <v>61st</v>
      </c>
    </row>
    <row r="125" spans="1:6" x14ac:dyDescent="0.2">
      <c r="A125" s="2" t="s">
        <v>119</v>
      </c>
      <c r="B125" s="2" t="s">
        <v>4</v>
      </c>
      <c r="C125" s="2">
        <v>25</v>
      </c>
      <c r="D125" s="2">
        <v>76.8</v>
      </c>
      <c r="E125" s="2">
        <v>10</v>
      </c>
      <c r="F125" s="2" t="str">
        <f t="shared" si="4"/>
        <v>77th</v>
      </c>
    </row>
    <row r="126" spans="1:6" x14ac:dyDescent="0.2">
      <c r="A126" s="2" t="s">
        <v>119</v>
      </c>
      <c r="B126" s="2" t="s">
        <v>4</v>
      </c>
      <c r="C126" s="2">
        <v>26</v>
      </c>
      <c r="D126" s="2">
        <v>76.8</v>
      </c>
      <c r="E126" s="2">
        <v>10</v>
      </c>
      <c r="F126" s="2" t="str">
        <f t="shared" si="4"/>
        <v>77th</v>
      </c>
    </row>
    <row r="127" spans="1:6" x14ac:dyDescent="0.2">
      <c r="A127" s="2" t="s">
        <v>119</v>
      </c>
      <c r="B127" s="2" t="s">
        <v>4</v>
      </c>
      <c r="C127" s="2">
        <v>27</v>
      </c>
      <c r="D127" s="2">
        <v>90.3</v>
      </c>
      <c r="E127" s="2">
        <v>11</v>
      </c>
      <c r="F127" s="2" t="str">
        <f t="shared" si="4"/>
        <v>90th</v>
      </c>
    </row>
    <row r="128" spans="1:6" x14ac:dyDescent="0.2">
      <c r="A128" s="2" t="s">
        <v>119</v>
      </c>
      <c r="B128" s="2" t="s">
        <v>4</v>
      </c>
      <c r="C128" s="2">
        <v>28</v>
      </c>
      <c r="D128" s="2">
        <v>90.3</v>
      </c>
      <c r="E128" s="2">
        <v>11</v>
      </c>
      <c r="F128" s="2" t="str">
        <f t="shared" si="4"/>
        <v>90th</v>
      </c>
    </row>
    <row r="129" spans="1:6" x14ac:dyDescent="0.2">
      <c r="A129" s="2" t="s">
        <v>119</v>
      </c>
      <c r="B129" s="2" t="s">
        <v>4</v>
      </c>
      <c r="C129" s="2">
        <v>29</v>
      </c>
      <c r="D129" s="2">
        <v>96.7</v>
      </c>
      <c r="E129" s="2">
        <v>12</v>
      </c>
      <c r="F129" s="2" t="str">
        <f t="shared" si="4"/>
        <v>97th</v>
      </c>
    </row>
    <row r="130" spans="1:6" x14ac:dyDescent="0.2">
      <c r="A130" s="2" t="s">
        <v>119</v>
      </c>
      <c r="B130" s="2" t="s">
        <v>4</v>
      </c>
      <c r="C130" s="2">
        <v>30</v>
      </c>
      <c r="D130" s="2">
        <v>96.7</v>
      </c>
      <c r="E130" s="2">
        <v>12</v>
      </c>
      <c r="F130" s="2" t="str">
        <f t="shared" si="4"/>
        <v>97th</v>
      </c>
    </row>
    <row r="131" spans="1:6" x14ac:dyDescent="0.2">
      <c r="A131" s="2" t="s">
        <v>119</v>
      </c>
      <c r="B131" s="2" t="s">
        <v>4</v>
      </c>
      <c r="C131" s="2">
        <v>31</v>
      </c>
      <c r="D131" s="2">
        <v>98.9</v>
      </c>
      <c r="E131" s="2">
        <v>13</v>
      </c>
      <c r="F131" s="2" t="str">
        <f t="shared" si="4"/>
        <v>99th</v>
      </c>
    </row>
    <row r="132" spans="1:6" x14ac:dyDescent="0.2">
      <c r="A132" s="2" t="s">
        <v>119</v>
      </c>
      <c r="B132" s="2" t="s">
        <v>4</v>
      </c>
      <c r="C132" s="2">
        <v>32</v>
      </c>
      <c r="D132" s="2">
        <v>98.9</v>
      </c>
      <c r="E132" s="2">
        <v>13</v>
      </c>
      <c r="F132" s="2" t="str">
        <f t="shared" si="4"/>
        <v>99th</v>
      </c>
    </row>
    <row r="133" spans="1:6" x14ac:dyDescent="0.2">
      <c r="A133" s="2" t="s">
        <v>119</v>
      </c>
      <c r="B133" s="2" t="s">
        <v>4</v>
      </c>
      <c r="C133" s="2">
        <v>33</v>
      </c>
      <c r="D133" s="2">
        <v>99.8</v>
      </c>
      <c r="E133" s="2">
        <v>14</v>
      </c>
      <c r="F133" s="2" t="str">
        <f t="shared" si="4"/>
        <v>100th</v>
      </c>
    </row>
    <row r="134" spans="1:6" x14ac:dyDescent="0.2">
      <c r="A134" s="2" t="s">
        <v>119</v>
      </c>
      <c r="B134" s="2" t="s">
        <v>4</v>
      </c>
      <c r="C134" s="2">
        <v>34</v>
      </c>
      <c r="D134" s="2">
        <v>99.8</v>
      </c>
      <c r="E134" s="2">
        <v>14</v>
      </c>
      <c r="F134" s="2" t="str">
        <f t="shared" si="4"/>
        <v>100th</v>
      </c>
    </row>
    <row r="135" spans="1:6" x14ac:dyDescent="0.2">
      <c r="A135" s="2" t="s">
        <v>119</v>
      </c>
      <c r="B135" s="2" t="s">
        <v>4</v>
      </c>
      <c r="C135" s="2">
        <v>35</v>
      </c>
      <c r="D135" s="2">
        <v>99.8</v>
      </c>
      <c r="E135" s="2">
        <v>14</v>
      </c>
      <c r="F135" s="2" t="str">
        <f t="shared" si="4"/>
        <v>100th</v>
      </c>
    </row>
    <row r="136" spans="1:6" x14ac:dyDescent="0.2">
      <c r="A136" s="2" t="s">
        <v>119</v>
      </c>
      <c r="B136" s="2" t="s">
        <v>4</v>
      </c>
      <c r="C136" s="2">
        <v>36</v>
      </c>
      <c r="D136" s="2">
        <v>99.8</v>
      </c>
      <c r="E136" s="2">
        <v>14</v>
      </c>
      <c r="F136" s="2" t="str">
        <f t="shared" si="4"/>
        <v>100th</v>
      </c>
    </row>
    <row r="137" spans="1:6" x14ac:dyDescent="0.2">
      <c r="A137" s="2" t="s">
        <v>119</v>
      </c>
      <c r="B137" s="2" t="s">
        <v>4</v>
      </c>
      <c r="C137" s="2">
        <v>37</v>
      </c>
      <c r="D137" s="2">
        <v>99.9</v>
      </c>
      <c r="E137" s="2">
        <v>15</v>
      </c>
      <c r="F137" s="2" t="str">
        <f t="shared" si="4"/>
        <v>100th</v>
      </c>
    </row>
    <row r="138" spans="1:6" x14ac:dyDescent="0.2">
      <c r="A138" s="2" t="s">
        <v>119</v>
      </c>
      <c r="B138" s="2" t="s">
        <v>4</v>
      </c>
      <c r="C138" s="2">
        <v>38</v>
      </c>
      <c r="D138" s="2">
        <v>99.9</v>
      </c>
      <c r="E138" s="2">
        <v>15</v>
      </c>
      <c r="F138" s="2" t="str">
        <f t="shared" si="4"/>
        <v>100th</v>
      </c>
    </row>
    <row r="139" spans="1:6" x14ac:dyDescent="0.2">
      <c r="A139" s="2" t="s">
        <v>119</v>
      </c>
      <c r="B139" s="2" t="s">
        <v>4</v>
      </c>
      <c r="C139" s="2">
        <v>39</v>
      </c>
      <c r="D139" s="2">
        <v>99.9</v>
      </c>
      <c r="E139" s="2">
        <v>15</v>
      </c>
      <c r="F139" s="2" t="str">
        <f t="shared" si="4"/>
        <v>100th</v>
      </c>
    </row>
    <row r="140" spans="1:6" x14ac:dyDescent="0.2">
      <c r="A140" s="2" t="s">
        <v>119</v>
      </c>
      <c r="B140" s="2" t="s">
        <v>4</v>
      </c>
      <c r="C140" s="2">
        <v>40</v>
      </c>
      <c r="D140" s="2">
        <v>99.9</v>
      </c>
      <c r="E140" s="2">
        <v>15</v>
      </c>
      <c r="F140" s="2" t="str">
        <f t="shared" si="4"/>
        <v>100th</v>
      </c>
    </row>
    <row r="141" spans="1:6" x14ac:dyDescent="0.2">
      <c r="A141" s="2" t="s">
        <v>119</v>
      </c>
      <c r="B141" s="2" t="s">
        <v>5</v>
      </c>
      <c r="C141" s="2">
        <v>0</v>
      </c>
      <c r="D141" s="2">
        <v>0.3</v>
      </c>
      <c r="E141" s="2">
        <v>1</v>
      </c>
      <c r="F141" s="2" t="str">
        <f t="shared" si="4"/>
        <v>0th</v>
      </c>
    </row>
    <row r="142" spans="1:6" x14ac:dyDescent="0.2">
      <c r="A142" s="2" t="s">
        <v>119</v>
      </c>
      <c r="B142" s="2" t="s">
        <v>5</v>
      </c>
      <c r="C142" s="2">
        <v>1</v>
      </c>
      <c r="D142" s="2">
        <v>0.3</v>
      </c>
      <c r="E142" s="2">
        <v>1</v>
      </c>
      <c r="F142" s="2" t="str">
        <f t="shared" si="4"/>
        <v>0th</v>
      </c>
    </row>
    <row r="143" spans="1:6" x14ac:dyDescent="0.2">
      <c r="A143" s="2" t="s">
        <v>119</v>
      </c>
      <c r="B143" s="2" t="s">
        <v>5</v>
      </c>
      <c r="C143" s="2">
        <v>2</v>
      </c>
      <c r="D143" s="2">
        <v>0.3</v>
      </c>
      <c r="E143" s="2">
        <v>1</v>
      </c>
      <c r="F143" s="2" t="str">
        <f t="shared" si="4"/>
        <v>0th</v>
      </c>
    </row>
    <row r="144" spans="1:6" x14ac:dyDescent="0.2">
      <c r="A144" s="2" t="s">
        <v>119</v>
      </c>
      <c r="B144" s="2" t="s">
        <v>5</v>
      </c>
      <c r="C144" s="2">
        <v>3</v>
      </c>
      <c r="D144" s="2">
        <v>0.3</v>
      </c>
      <c r="E144" s="2">
        <v>1</v>
      </c>
      <c r="F144" s="2" t="str">
        <f t="shared" si="4"/>
        <v>0th</v>
      </c>
    </row>
    <row r="145" spans="1:6" x14ac:dyDescent="0.2">
      <c r="A145" s="2" t="s">
        <v>119</v>
      </c>
      <c r="B145" s="2" t="s">
        <v>5</v>
      </c>
      <c r="C145" s="2">
        <v>4</v>
      </c>
      <c r="D145" s="2">
        <v>0.3</v>
      </c>
      <c r="E145" s="2">
        <v>1</v>
      </c>
      <c r="F145" s="2" t="str">
        <f t="shared" si="4"/>
        <v>0th</v>
      </c>
    </row>
    <row r="146" spans="1:6" x14ac:dyDescent="0.2">
      <c r="A146" s="2" t="s">
        <v>119</v>
      </c>
      <c r="B146" s="2" t="s">
        <v>5</v>
      </c>
      <c r="C146" s="2">
        <v>5</v>
      </c>
      <c r="D146" s="2">
        <v>0.3</v>
      </c>
      <c r="E146" s="2">
        <v>1</v>
      </c>
      <c r="F146" s="2" t="str">
        <f t="shared" si="4"/>
        <v>0th</v>
      </c>
    </row>
    <row r="147" spans="1:6" x14ac:dyDescent="0.2">
      <c r="A147" s="2" t="s">
        <v>119</v>
      </c>
      <c r="B147" s="2" t="s">
        <v>5</v>
      </c>
      <c r="C147" s="2">
        <v>6</v>
      </c>
      <c r="D147" s="2">
        <v>1.1000000000000001</v>
      </c>
      <c r="E147" s="2">
        <v>2</v>
      </c>
      <c r="F147" s="2" t="str">
        <f t="shared" si="4"/>
        <v>1st</v>
      </c>
    </row>
    <row r="148" spans="1:6" x14ac:dyDescent="0.2">
      <c r="A148" s="2" t="s">
        <v>119</v>
      </c>
      <c r="B148" s="2" t="s">
        <v>5</v>
      </c>
      <c r="C148" s="2">
        <v>7</v>
      </c>
      <c r="D148" s="2">
        <v>1.1000000000000001</v>
      </c>
      <c r="E148" s="2">
        <v>2</v>
      </c>
      <c r="F148" s="2" t="str">
        <f t="shared" si="4"/>
        <v>1st</v>
      </c>
    </row>
    <row r="149" spans="1:6" x14ac:dyDescent="0.2">
      <c r="A149" s="2" t="s">
        <v>119</v>
      </c>
      <c r="B149" s="2" t="s">
        <v>5</v>
      </c>
      <c r="C149" s="2">
        <v>8</v>
      </c>
      <c r="D149" s="2">
        <v>1.1000000000000001</v>
      </c>
      <c r="E149" s="2">
        <v>2</v>
      </c>
      <c r="F149" s="2" t="str">
        <f t="shared" si="4"/>
        <v>1st</v>
      </c>
    </row>
    <row r="150" spans="1:6" x14ac:dyDescent="0.2">
      <c r="A150" s="2" t="s">
        <v>119</v>
      </c>
      <c r="B150" s="2" t="s">
        <v>5</v>
      </c>
      <c r="C150" s="2">
        <v>9</v>
      </c>
      <c r="D150" s="2">
        <v>1.1000000000000001</v>
      </c>
      <c r="E150" s="2">
        <v>2</v>
      </c>
      <c r="F150" s="2" t="str">
        <f t="shared" si="4"/>
        <v>1st</v>
      </c>
    </row>
    <row r="151" spans="1:6" x14ac:dyDescent="0.2">
      <c r="A151" s="2" t="s">
        <v>119</v>
      </c>
      <c r="B151" s="2" t="s">
        <v>5</v>
      </c>
      <c r="C151" s="2">
        <v>10</v>
      </c>
      <c r="D151" s="2">
        <v>1.1000000000000001</v>
      </c>
      <c r="E151" s="2">
        <v>2</v>
      </c>
      <c r="F151" s="2" t="str">
        <f t="shared" si="4"/>
        <v>1st</v>
      </c>
    </row>
    <row r="152" spans="1:6" x14ac:dyDescent="0.2">
      <c r="A152" s="2" t="s">
        <v>119</v>
      </c>
      <c r="B152" s="2" t="s">
        <v>5</v>
      </c>
      <c r="C152" s="2">
        <v>11</v>
      </c>
      <c r="D152" s="2">
        <v>2.4</v>
      </c>
      <c r="E152" s="2">
        <v>3</v>
      </c>
      <c r="F152" s="2" t="str">
        <f t="shared" si="4"/>
        <v>2nd</v>
      </c>
    </row>
    <row r="153" spans="1:6" x14ac:dyDescent="0.2">
      <c r="A153" s="2" t="s">
        <v>119</v>
      </c>
      <c r="B153" s="2" t="s">
        <v>5</v>
      </c>
      <c r="C153" s="2">
        <v>12</v>
      </c>
      <c r="D153" s="2">
        <v>2.4</v>
      </c>
      <c r="E153" s="2">
        <v>3</v>
      </c>
      <c r="F153" s="2" t="str">
        <f t="shared" si="4"/>
        <v>2nd</v>
      </c>
    </row>
    <row r="154" spans="1:6" x14ac:dyDescent="0.2">
      <c r="A154" s="2" t="s">
        <v>119</v>
      </c>
      <c r="B154" s="2" t="s">
        <v>5</v>
      </c>
      <c r="C154" s="2">
        <v>13</v>
      </c>
      <c r="D154" s="2">
        <v>2.4</v>
      </c>
      <c r="E154" s="2">
        <v>3</v>
      </c>
      <c r="F154" s="2" t="str">
        <f t="shared" si="4"/>
        <v>2nd</v>
      </c>
    </row>
    <row r="155" spans="1:6" x14ac:dyDescent="0.2">
      <c r="A155" s="2" t="s">
        <v>119</v>
      </c>
      <c r="B155" s="2" t="s">
        <v>5</v>
      </c>
      <c r="C155" s="2">
        <v>14</v>
      </c>
      <c r="D155" s="2">
        <v>4.9000000000000004</v>
      </c>
      <c r="E155" s="2">
        <v>4</v>
      </c>
      <c r="F155" s="2" t="str">
        <f t="shared" si="4"/>
        <v>5th</v>
      </c>
    </row>
    <row r="156" spans="1:6" x14ac:dyDescent="0.2">
      <c r="A156" s="2" t="s">
        <v>119</v>
      </c>
      <c r="B156" s="2" t="s">
        <v>5</v>
      </c>
      <c r="C156" s="2">
        <v>15</v>
      </c>
      <c r="D156" s="2">
        <v>4.9000000000000004</v>
      </c>
      <c r="E156" s="2">
        <v>4</v>
      </c>
      <c r="F156" s="2" t="str">
        <f t="shared" si="4"/>
        <v>5th</v>
      </c>
    </row>
    <row r="157" spans="1:6" x14ac:dyDescent="0.2">
      <c r="A157" s="2" t="s">
        <v>119</v>
      </c>
      <c r="B157" s="2" t="s">
        <v>5</v>
      </c>
      <c r="C157" s="2">
        <v>16</v>
      </c>
      <c r="D157" s="2">
        <v>4.9000000000000004</v>
      </c>
      <c r="E157" s="2">
        <v>4</v>
      </c>
      <c r="F157" s="2" t="str">
        <f t="shared" si="4"/>
        <v>5th</v>
      </c>
    </row>
    <row r="158" spans="1:6" x14ac:dyDescent="0.2">
      <c r="A158" s="2" t="s">
        <v>119</v>
      </c>
      <c r="B158" s="2" t="s">
        <v>5</v>
      </c>
      <c r="C158" s="2">
        <v>17</v>
      </c>
      <c r="D158" s="2">
        <v>8.5</v>
      </c>
      <c r="E158" s="2">
        <v>5</v>
      </c>
      <c r="F158" s="2" t="str">
        <f t="shared" si="4"/>
        <v>9th</v>
      </c>
    </row>
    <row r="159" spans="1:6" x14ac:dyDescent="0.2">
      <c r="A159" s="2" t="s">
        <v>119</v>
      </c>
      <c r="B159" s="2" t="s">
        <v>5</v>
      </c>
      <c r="C159" s="2">
        <v>18</v>
      </c>
      <c r="D159" s="2">
        <v>8.5</v>
      </c>
      <c r="E159" s="2">
        <v>5</v>
      </c>
      <c r="F159" s="2" t="str">
        <f t="shared" si="4"/>
        <v>9th</v>
      </c>
    </row>
    <row r="160" spans="1:6" x14ac:dyDescent="0.2">
      <c r="A160" s="2" t="s">
        <v>119</v>
      </c>
      <c r="B160" s="2" t="s">
        <v>5</v>
      </c>
      <c r="C160" s="2">
        <v>19</v>
      </c>
      <c r="D160" s="2">
        <v>8.5</v>
      </c>
      <c r="E160" s="2">
        <v>5</v>
      </c>
      <c r="F160" s="2" t="str">
        <f t="shared" si="4"/>
        <v>9th</v>
      </c>
    </row>
    <row r="161" spans="1:6" x14ac:dyDescent="0.2">
      <c r="A161" s="2" t="s">
        <v>119</v>
      </c>
      <c r="B161" s="2" t="s">
        <v>5</v>
      </c>
      <c r="C161" s="2">
        <v>20</v>
      </c>
      <c r="D161" s="2">
        <v>14.1</v>
      </c>
      <c r="E161" s="2">
        <v>6</v>
      </c>
      <c r="F161" s="2" t="str">
        <f t="shared" si="4"/>
        <v>14th</v>
      </c>
    </row>
    <row r="162" spans="1:6" x14ac:dyDescent="0.2">
      <c r="A162" s="2" t="s">
        <v>119</v>
      </c>
      <c r="B162" s="2" t="s">
        <v>5</v>
      </c>
      <c r="C162" s="2">
        <v>21</v>
      </c>
      <c r="D162" s="2">
        <v>14.1</v>
      </c>
      <c r="E162" s="2">
        <v>6</v>
      </c>
      <c r="F162" s="2" t="str">
        <f t="shared" si="4"/>
        <v>14th</v>
      </c>
    </row>
    <row r="163" spans="1:6" x14ac:dyDescent="0.2">
      <c r="A163" s="2" t="s">
        <v>119</v>
      </c>
      <c r="B163" s="2" t="s">
        <v>5</v>
      </c>
      <c r="C163" s="2">
        <v>22</v>
      </c>
      <c r="D163" s="2">
        <v>14.1</v>
      </c>
      <c r="E163" s="2">
        <v>6</v>
      </c>
      <c r="F163" s="2" t="str">
        <f t="shared" si="4"/>
        <v>14th</v>
      </c>
    </row>
    <row r="164" spans="1:6" x14ac:dyDescent="0.2">
      <c r="A164" s="2" t="s">
        <v>119</v>
      </c>
      <c r="B164" s="2" t="s">
        <v>5</v>
      </c>
      <c r="C164" s="2">
        <v>23</v>
      </c>
      <c r="D164" s="2">
        <v>21.6</v>
      </c>
      <c r="E164" s="2">
        <v>7</v>
      </c>
      <c r="F164" s="2" t="str">
        <f t="shared" si="4"/>
        <v>22nd</v>
      </c>
    </row>
    <row r="165" spans="1:6" x14ac:dyDescent="0.2">
      <c r="A165" s="2" t="s">
        <v>119</v>
      </c>
      <c r="B165" s="2" t="s">
        <v>5</v>
      </c>
      <c r="C165" s="2">
        <v>24</v>
      </c>
      <c r="D165" s="2">
        <v>21.6</v>
      </c>
      <c r="E165" s="2">
        <v>7</v>
      </c>
      <c r="F165" s="2" t="str">
        <f t="shared" si="4"/>
        <v>22nd</v>
      </c>
    </row>
    <row r="166" spans="1:6" x14ac:dyDescent="0.2">
      <c r="A166" s="2" t="s">
        <v>119</v>
      </c>
      <c r="B166" s="2" t="s">
        <v>5</v>
      </c>
      <c r="C166" s="2">
        <v>25</v>
      </c>
      <c r="D166" s="2">
        <v>33.200000000000003</v>
      </c>
      <c r="E166" s="2">
        <v>8</v>
      </c>
      <c r="F166" s="2" t="str">
        <f t="shared" si="4"/>
        <v>33rd</v>
      </c>
    </row>
    <row r="167" spans="1:6" x14ac:dyDescent="0.2">
      <c r="A167" s="2" t="s">
        <v>119</v>
      </c>
      <c r="B167" s="2" t="s">
        <v>5</v>
      </c>
      <c r="C167" s="2">
        <v>26</v>
      </c>
      <c r="D167" s="2">
        <v>33.200000000000003</v>
      </c>
      <c r="E167" s="2">
        <v>8</v>
      </c>
      <c r="F167" s="2" t="str">
        <f t="shared" si="4"/>
        <v>33rd</v>
      </c>
    </row>
    <row r="168" spans="1:6" x14ac:dyDescent="0.2">
      <c r="A168" s="2" t="s">
        <v>119</v>
      </c>
      <c r="B168" s="2" t="s">
        <v>5</v>
      </c>
      <c r="C168" s="2">
        <v>27</v>
      </c>
      <c r="D168" s="2">
        <v>33.200000000000003</v>
      </c>
      <c r="E168" s="2">
        <v>8</v>
      </c>
      <c r="F168" s="2" t="str">
        <f t="shared" si="4"/>
        <v>33rd</v>
      </c>
    </row>
    <row r="169" spans="1:6" x14ac:dyDescent="0.2">
      <c r="A169" s="2" t="s">
        <v>119</v>
      </c>
      <c r="B169" s="2" t="s">
        <v>5</v>
      </c>
      <c r="C169" s="2">
        <v>28</v>
      </c>
      <c r="D169" s="2">
        <v>49.3</v>
      </c>
      <c r="E169" s="2">
        <v>9</v>
      </c>
      <c r="F169" s="2" t="str">
        <f t="shared" si="4"/>
        <v>49th</v>
      </c>
    </row>
    <row r="170" spans="1:6" x14ac:dyDescent="0.2">
      <c r="A170" s="2" t="s">
        <v>119</v>
      </c>
      <c r="B170" s="2" t="s">
        <v>5</v>
      </c>
      <c r="C170" s="2">
        <v>29</v>
      </c>
      <c r="D170" s="2">
        <v>49.3</v>
      </c>
      <c r="E170" s="2">
        <v>9</v>
      </c>
      <c r="F170" s="2" t="str">
        <f t="shared" si="4"/>
        <v>49th</v>
      </c>
    </row>
    <row r="171" spans="1:6" x14ac:dyDescent="0.2">
      <c r="A171" s="2" t="s">
        <v>119</v>
      </c>
      <c r="B171" s="2" t="s">
        <v>5</v>
      </c>
      <c r="C171" s="2">
        <v>30</v>
      </c>
      <c r="D171" s="2">
        <v>49.3</v>
      </c>
      <c r="E171" s="2">
        <v>9</v>
      </c>
      <c r="F171" s="2" t="str">
        <f t="shared" si="4"/>
        <v>49th</v>
      </c>
    </row>
    <row r="172" spans="1:6" x14ac:dyDescent="0.2">
      <c r="A172" s="2" t="s">
        <v>119</v>
      </c>
      <c r="B172" s="2" t="s">
        <v>5</v>
      </c>
      <c r="C172" s="2">
        <v>31</v>
      </c>
      <c r="D172" s="2">
        <v>66.8</v>
      </c>
      <c r="E172" s="2">
        <v>10</v>
      </c>
      <c r="F172" s="2" t="str">
        <f t="shared" si="4"/>
        <v>67th</v>
      </c>
    </row>
    <row r="173" spans="1:6" x14ac:dyDescent="0.2">
      <c r="A173" s="2" t="s">
        <v>119</v>
      </c>
      <c r="B173" s="2" t="s">
        <v>5</v>
      </c>
      <c r="C173" s="2">
        <v>32</v>
      </c>
      <c r="D173" s="2">
        <v>66.8</v>
      </c>
      <c r="E173" s="2">
        <v>10</v>
      </c>
      <c r="F173" s="2" t="str">
        <f t="shared" si="4"/>
        <v>67th</v>
      </c>
    </row>
    <row r="174" spans="1:6" x14ac:dyDescent="0.2">
      <c r="A174" s="2" t="s">
        <v>119</v>
      </c>
      <c r="B174" s="2" t="s">
        <v>5</v>
      </c>
      <c r="C174" s="2">
        <v>33</v>
      </c>
      <c r="D174" s="2">
        <v>81.900000000000006</v>
      </c>
      <c r="E174" s="2">
        <v>11</v>
      </c>
      <c r="F174" s="2" t="str">
        <f t="shared" si="4"/>
        <v>82nd</v>
      </c>
    </row>
    <row r="175" spans="1:6" x14ac:dyDescent="0.2">
      <c r="A175" s="2" t="s">
        <v>119</v>
      </c>
      <c r="B175" s="2" t="s">
        <v>5</v>
      </c>
      <c r="C175" s="2">
        <v>34</v>
      </c>
      <c r="D175" s="2">
        <v>81.900000000000006</v>
      </c>
      <c r="E175" s="2">
        <v>11</v>
      </c>
      <c r="F175" s="2" t="str">
        <f t="shared" si="4"/>
        <v>82nd</v>
      </c>
    </row>
    <row r="176" spans="1:6" x14ac:dyDescent="0.2">
      <c r="A176" s="2" t="s">
        <v>119</v>
      </c>
      <c r="B176" s="2" t="s">
        <v>5</v>
      </c>
      <c r="C176" s="2">
        <v>35</v>
      </c>
      <c r="D176" s="2">
        <v>91.4</v>
      </c>
      <c r="E176" s="2">
        <v>12</v>
      </c>
      <c r="F176" s="2" t="str">
        <f t="shared" si="4"/>
        <v>91st</v>
      </c>
    </row>
    <row r="177" spans="1:6" x14ac:dyDescent="0.2">
      <c r="A177" s="2" t="s">
        <v>119</v>
      </c>
      <c r="B177" s="2" t="s">
        <v>5</v>
      </c>
      <c r="C177" s="2">
        <v>36</v>
      </c>
      <c r="D177" s="2">
        <v>91.4</v>
      </c>
      <c r="E177" s="2">
        <v>12</v>
      </c>
      <c r="F177" s="2" t="str">
        <f t="shared" si="4"/>
        <v>91st</v>
      </c>
    </row>
    <row r="178" spans="1:6" x14ac:dyDescent="0.2">
      <c r="A178" s="2" t="s">
        <v>119</v>
      </c>
      <c r="B178" s="2" t="s">
        <v>5</v>
      </c>
      <c r="C178" s="2">
        <v>37</v>
      </c>
      <c r="D178" s="2">
        <v>96.5</v>
      </c>
      <c r="E178" s="2">
        <v>13</v>
      </c>
      <c r="F178" s="2" t="str">
        <f t="shared" si="4"/>
        <v>97th</v>
      </c>
    </row>
    <row r="179" spans="1:6" x14ac:dyDescent="0.2">
      <c r="A179" s="2" t="s">
        <v>119</v>
      </c>
      <c r="B179" s="2" t="s">
        <v>5</v>
      </c>
      <c r="C179" s="2">
        <v>38</v>
      </c>
      <c r="D179" s="2">
        <v>96.5</v>
      </c>
      <c r="E179" s="2">
        <v>13</v>
      </c>
      <c r="F179" s="2" t="str">
        <f t="shared" si="4"/>
        <v>97th</v>
      </c>
    </row>
    <row r="180" spans="1:6" x14ac:dyDescent="0.2">
      <c r="A180" s="2" t="s">
        <v>119</v>
      </c>
      <c r="B180" s="2" t="s">
        <v>5</v>
      </c>
      <c r="C180" s="2">
        <v>39</v>
      </c>
      <c r="D180" s="2">
        <v>96.5</v>
      </c>
      <c r="E180" s="2">
        <v>13</v>
      </c>
      <c r="F180" s="2" t="str">
        <f t="shared" si="4"/>
        <v>97th</v>
      </c>
    </row>
    <row r="181" spans="1:6" x14ac:dyDescent="0.2">
      <c r="A181" s="2" t="s">
        <v>119</v>
      </c>
      <c r="B181" s="2" t="s">
        <v>5</v>
      </c>
      <c r="C181" s="2">
        <v>40</v>
      </c>
      <c r="D181" s="2">
        <v>99</v>
      </c>
      <c r="E181" s="2">
        <v>14</v>
      </c>
      <c r="F181" s="2" t="str">
        <f t="shared" si="4"/>
        <v>99th</v>
      </c>
    </row>
    <row r="182" spans="1:6" x14ac:dyDescent="0.2">
      <c r="A182" s="2" t="s">
        <v>119</v>
      </c>
      <c r="B182" s="2" t="s">
        <v>5</v>
      </c>
      <c r="C182" s="2">
        <v>41</v>
      </c>
      <c r="D182" s="2">
        <v>99</v>
      </c>
      <c r="E182" s="2">
        <v>14</v>
      </c>
      <c r="F182" s="2" t="str">
        <f t="shared" si="4"/>
        <v>99th</v>
      </c>
    </row>
    <row r="183" spans="1:6" x14ac:dyDescent="0.2">
      <c r="A183" s="2" t="s">
        <v>119</v>
      </c>
      <c r="B183" s="2" t="s">
        <v>5</v>
      </c>
      <c r="C183" s="2">
        <v>42</v>
      </c>
      <c r="D183" s="2">
        <v>99</v>
      </c>
      <c r="E183" s="2">
        <v>14</v>
      </c>
      <c r="F183" s="2" t="str">
        <f t="shared" si="4"/>
        <v>99th</v>
      </c>
    </row>
    <row r="184" spans="1:6" x14ac:dyDescent="0.2">
      <c r="A184" s="2" t="s">
        <v>119</v>
      </c>
      <c r="B184" s="2" t="s">
        <v>5</v>
      </c>
      <c r="C184" s="2">
        <v>43</v>
      </c>
      <c r="D184" s="2">
        <v>99.9</v>
      </c>
      <c r="E184" s="2">
        <v>15</v>
      </c>
      <c r="F184" s="2" t="str">
        <f t="shared" si="4"/>
        <v>100th</v>
      </c>
    </row>
    <row r="185" spans="1:6" x14ac:dyDescent="0.2">
      <c r="A185" s="2" t="s">
        <v>119</v>
      </c>
      <c r="B185" s="2" t="s">
        <v>5</v>
      </c>
      <c r="C185" s="2">
        <v>44</v>
      </c>
      <c r="D185" s="2">
        <v>99.9</v>
      </c>
      <c r="E185" s="2">
        <v>15</v>
      </c>
      <c r="F185" s="2" t="str">
        <f t="shared" si="4"/>
        <v>100th</v>
      </c>
    </row>
    <row r="186" spans="1:6" x14ac:dyDescent="0.2">
      <c r="A186" s="2" t="s">
        <v>119</v>
      </c>
      <c r="B186" s="2" t="s">
        <v>5</v>
      </c>
      <c r="C186" s="2">
        <v>45</v>
      </c>
      <c r="D186" s="2">
        <v>99.9</v>
      </c>
      <c r="E186" s="2">
        <v>15</v>
      </c>
      <c r="F186" s="2" t="str">
        <f t="shared" ref="F186:F193" si="5">IF(RIGHT(ROUND(D186,0),2)="13",ROUND(D186,0)&amp;"th",IF(RIGHT(ROUND(D186,0),2)="12",ROUND(D186,0)&amp;"th",IF(RIGHT(ROUND(D186,0),2)="11",ROUND(D186,0)&amp;"th",IF(RIGHT(ROUND(D186,0),1)="1",ROUND(D186,0)&amp;"st",IF(RIGHT(ROUND(D186,0),1)="2",ROUND(D186,0)&amp;"nd",IF(RIGHT(ROUND(D186,0),1)="3",ROUND(D186,0)&amp;"rd",ROUND(D186,0)&amp;"th"))))))</f>
        <v>100th</v>
      </c>
    </row>
    <row r="187" spans="1:6" x14ac:dyDescent="0.2">
      <c r="A187" s="2" t="s">
        <v>119</v>
      </c>
      <c r="B187" s="2" t="s">
        <v>5</v>
      </c>
      <c r="C187" s="2">
        <v>46</v>
      </c>
      <c r="D187" s="2">
        <v>99.9</v>
      </c>
      <c r="E187" s="2">
        <v>15</v>
      </c>
      <c r="F187" s="2" t="str">
        <f t="shared" si="5"/>
        <v>100th</v>
      </c>
    </row>
    <row r="188" spans="1:6" x14ac:dyDescent="0.2">
      <c r="A188" s="2" t="s">
        <v>119</v>
      </c>
      <c r="B188" s="2" t="s">
        <v>5</v>
      </c>
      <c r="C188" s="2">
        <v>47</v>
      </c>
      <c r="D188" s="2">
        <v>99.9</v>
      </c>
      <c r="E188" s="2">
        <v>15</v>
      </c>
      <c r="F188" s="2" t="str">
        <f t="shared" si="5"/>
        <v>100th</v>
      </c>
    </row>
    <row r="189" spans="1:6" x14ac:dyDescent="0.2">
      <c r="A189" s="2" t="s">
        <v>119</v>
      </c>
      <c r="B189" s="2" t="s">
        <v>5</v>
      </c>
      <c r="C189" s="2">
        <v>48</v>
      </c>
      <c r="D189" s="2">
        <v>99.9</v>
      </c>
      <c r="E189" s="2">
        <v>15</v>
      </c>
      <c r="F189" s="2" t="str">
        <f t="shared" si="5"/>
        <v>100th</v>
      </c>
    </row>
    <row r="190" spans="1:6" x14ac:dyDescent="0.2">
      <c r="A190" s="2" t="s">
        <v>119</v>
      </c>
      <c r="B190" s="2" t="s">
        <v>5</v>
      </c>
      <c r="C190" s="2">
        <v>49</v>
      </c>
      <c r="D190" s="2">
        <v>99.9</v>
      </c>
      <c r="E190" s="2">
        <v>15</v>
      </c>
      <c r="F190" s="2" t="str">
        <f t="shared" si="5"/>
        <v>100th</v>
      </c>
    </row>
    <row r="191" spans="1:6" x14ac:dyDescent="0.2">
      <c r="A191" s="2" t="s">
        <v>119</v>
      </c>
      <c r="B191" s="2" t="s">
        <v>5</v>
      </c>
      <c r="C191" s="2">
        <v>50</v>
      </c>
      <c r="D191" s="2">
        <v>99.9</v>
      </c>
      <c r="E191" s="2">
        <v>15</v>
      </c>
      <c r="F191" s="2" t="str">
        <f t="shared" si="5"/>
        <v>100th</v>
      </c>
    </row>
    <row r="192" spans="1:6" x14ac:dyDescent="0.2">
      <c r="A192" s="2" t="s">
        <v>119</v>
      </c>
      <c r="B192" s="2" t="s">
        <v>5</v>
      </c>
      <c r="C192" s="2">
        <v>51</v>
      </c>
      <c r="D192" s="2">
        <v>99.9</v>
      </c>
      <c r="E192" s="2">
        <v>15</v>
      </c>
      <c r="F192" s="2" t="str">
        <f t="shared" si="5"/>
        <v>100th</v>
      </c>
    </row>
    <row r="193" spans="1:6" x14ac:dyDescent="0.2">
      <c r="A193" s="2" t="s">
        <v>119</v>
      </c>
      <c r="B193" s="2" t="s">
        <v>5</v>
      </c>
      <c r="C193" s="2">
        <v>52</v>
      </c>
      <c r="D193" s="2">
        <v>99.9</v>
      </c>
      <c r="E193" s="2">
        <v>15</v>
      </c>
      <c r="F193" s="2" t="str">
        <f t="shared" si="5"/>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C2" sqref="C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79</v>
      </c>
      <c r="B1" s="14" t="s">
        <v>72</v>
      </c>
      <c r="C1" s="14" t="s">
        <v>80</v>
      </c>
      <c r="D1" s="14" t="s">
        <v>73</v>
      </c>
      <c r="E1" s="14" t="s">
        <v>82</v>
      </c>
      <c r="F1" s="14" t="s">
        <v>76</v>
      </c>
      <c r="G1" s="14" t="s">
        <v>83</v>
      </c>
      <c r="H1" s="14" t="s">
        <v>75</v>
      </c>
      <c r="I1" s="14" t="s">
        <v>84</v>
      </c>
      <c r="J1" s="14" t="s">
        <v>74</v>
      </c>
      <c r="K1" s="14" t="s">
        <v>85</v>
      </c>
      <c r="L1" s="14" t="s">
        <v>78</v>
      </c>
      <c r="M1" s="14" t="s">
        <v>81</v>
      </c>
      <c r="N1" s="14" t="s">
        <v>77</v>
      </c>
      <c r="O1" s="14" t="s">
        <v>96</v>
      </c>
      <c r="P1" s="14" t="s">
        <v>98</v>
      </c>
    </row>
    <row r="2" spans="1:16" ht="113.25" x14ac:dyDescent="0.25">
      <c r="A2" s="1" t="s">
        <v>119</v>
      </c>
      <c r="B2" s="1" t="s">
        <v>150</v>
      </c>
      <c r="C2" s="1" t="s">
        <v>939</v>
      </c>
      <c r="D2" s="1">
        <v>3</v>
      </c>
      <c r="E2" s="1" t="s">
        <v>65</v>
      </c>
      <c r="F2" s="1" t="s">
        <v>93</v>
      </c>
      <c r="G2" s="1" t="s">
        <v>63</v>
      </c>
      <c r="H2" s="1" t="s">
        <v>940</v>
      </c>
      <c r="I2" s="1" t="s">
        <v>64</v>
      </c>
      <c r="J2" s="1" t="s">
        <v>94</v>
      </c>
      <c r="M2" s="1" t="s">
        <v>941</v>
      </c>
      <c r="N2" s="1" t="s">
        <v>942</v>
      </c>
      <c r="O2" s="1" t="s">
        <v>961</v>
      </c>
      <c r="P2" s="1" t="s">
        <v>97</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FL9</vt:lpstr>
      <vt:lpstr>FL9_QA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2014-06-27T19:24:51Z</dcterms:modified>
</cp:coreProperties>
</file>