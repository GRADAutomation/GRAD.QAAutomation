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yFiles\Eclipse\Projects\Work\GRAD.QAAutomation\src\Config\"/>
    </mc:Choice>
  </mc:AlternateContent>
  <bookViews>
    <workbookView xWindow="240" yWindow="60" windowWidth="20115" windowHeight="8010" tabRatio="872" activeTab="2"/>
  </bookViews>
  <sheets>
    <sheet name="FL10" sheetId="35" r:id="rId1"/>
    <sheet name="FL10_QA" sheetId="36" r:id="rId2"/>
    <sheet name="ItemReview" sheetId="5" r:id="rId3"/>
    <sheet name="Translation" sheetId="8" r:id="rId4"/>
    <sheet name="Test_Directions" sheetId="9" r:id="rId5"/>
  </sheets>
  <functionGroups builtInGroupCount="18"/>
  <calcPr calcId="152511"/>
</workbook>
</file>

<file path=xl/calcChain.xml><?xml version="1.0" encoding="utf-8"?>
<calcChain xmlns="http://schemas.openxmlformats.org/spreadsheetml/2006/main">
  <c r="K145" i="35" l="1"/>
  <c r="K144" i="35"/>
  <c r="K143" i="35"/>
  <c r="K142" i="35"/>
  <c r="K141" i="35"/>
  <c r="K140" i="35"/>
  <c r="K139" i="35"/>
  <c r="K138" i="35"/>
  <c r="K137" i="35"/>
  <c r="K136" i="35"/>
  <c r="K135" i="35"/>
  <c r="K134" i="35"/>
  <c r="K133" i="35"/>
  <c r="K132" i="35"/>
  <c r="K131" i="35"/>
  <c r="K130" i="35"/>
  <c r="K129" i="35"/>
  <c r="K128" i="35"/>
  <c r="K127" i="35"/>
  <c r="K126" i="35"/>
  <c r="K125" i="35"/>
  <c r="K124" i="35"/>
  <c r="K123" i="35"/>
  <c r="K122" i="35"/>
  <c r="K121" i="35"/>
  <c r="K120" i="35"/>
  <c r="K119" i="35"/>
  <c r="K118" i="35"/>
  <c r="K117" i="35"/>
  <c r="K116" i="35"/>
  <c r="K115" i="35"/>
  <c r="K114" i="35"/>
  <c r="K113" i="35"/>
  <c r="K112" i="35"/>
  <c r="K111" i="35"/>
  <c r="K110" i="35"/>
  <c r="K109" i="35"/>
  <c r="K108" i="35"/>
  <c r="K107" i="35"/>
  <c r="K106" i="35"/>
  <c r="K105" i="35"/>
  <c r="K104" i="35"/>
  <c r="K103" i="35"/>
  <c r="K102" i="35"/>
  <c r="K101" i="35"/>
  <c r="K100" i="35"/>
  <c r="K99" i="35"/>
  <c r="K98" i="35"/>
  <c r="K97" i="35"/>
  <c r="K96" i="35"/>
  <c r="K95" i="35"/>
  <c r="K94" i="35"/>
  <c r="K93" i="35"/>
  <c r="K92" i="35"/>
  <c r="K91" i="35"/>
  <c r="K90" i="35"/>
  <c r="K89" i="35"/>
  <c r="K88" i="35"/>
  <c r="K87" i="35"/>
  <c r="K86" i="35"/>
  <c r="K85" i="35"/>
  <c r="K84" i="35"/>
  <c r="K83" i="35"/>
  <c r="K82" i="35"/>
  <c r="K81" i="35"/>
  <c r="K80" i="35"/>
  <c r="K79" i="35"/>
  <c r="K78" i="35"/>
  <c r="K77" i="35"/>
  <c r="K76" i="35"/>
  <c r="K75" i="35"/>
  <c r="K74" i="35"/>
  <c r="K73" i="35"/>
  <c r="K72" i="35"/>
  <c r="K71" i="35"/>
  <c r="K70" i="35"/>
  <c r="K69" i="35"/>
  <c r="K68" i="35"/>
  <c r="K67" i="35"/>
  <c r="K66" i="35"/>
  <c r="K65" i="35"/>
  <c r="K64" i="35"/>
  <c r="K63" i="35"/>
  <c r="K62" i="35"/>
  <c r="K61" i="35"/>
  <c r="K60" i="35"/>
  <c r="K59" i="35"/>
  <c r="K58" i="35"/>
  <c r="K57" i="35"/>
  <c r="K56" i="35"/>
  <c r="K55" i="35"/>
  <c r="K54" i="35"/>
  <c r="K53" i="35"/>
  <c r="K52" i="35"/>
  <c r="K51" i="35"/>
  <c r="K50" i="35"/>
  <c r="K49" i="35"/>
  <c r="K48" i="35"/>
  <c r="K47" i="35"/>
  <c r="K46" i="35"/>
  <c r="K45" i="35"/>
  <c r="K44" i="35"/>
  <c r="K43" i="35"/>
  <c r="K42" i="35"/>
  <c r="K41" i="35"/>
  <c r="K40" i="35"/>
  <c r="K39" i="35"/>
  <c r="K38" i="35"/>
  <c r="K37" i="35"/>
  <c r="K36" i="35"/>
  <c r="K35" i="35"/>
  <c r="K34" i="35"/>
  <c r="K33" i="35"/>
  <c r="K32" i="35"/>
  <c r="K31" i="35"/>
  <c r="K30" i="35"/>
  <c r="K29" i="35"/>
  <c r="K28" i="35"/>
  <c r="K27" i="35"/>
  <c r="K26" i="35"/>
  <c r="K25" i="35"/>
  <c r="K24" i="35"/>
  <c r="K23" i="35"/>
  <c r="K22" i="35"/>
  <c r="K21" i="35"/>
  <c r="K20" i="35"/>
  <c r="K19" i="35"/>
  <c r="K18" i="35"/>
  <c r="K17" i="35"/>
  <c r="K16" i="35"/>
  <c r="K15" i="35"/>
  <c r="K14" i="35"/>
  <c r="K13" i="35"/>
  <c r="K12" i="35"/>
  <c r="K11" i="35"/>
  <c r="K10" i="35"/>
  <c r="K9" i="35"/>
  <c r="K8" i="35"/>
  <c r="K7" i="35"/>
  <c r="K6" i="35"/>
  <c r="K5" i="35"/>
  <c r="K4" i="35"/>
  <c r="K3" i="35"/>
  <c r="K2" i="35"/>
  <c r="F47" i="8" l="1"/>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2" i="8" l="1"/>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alcChain>
</file>

<file path=xl/sharedStrings.xml><?xml version="1.0" encoding="utf-8"?>
<sst xmlns="http://schemas.openxmlformats.org/spreadsheetml/2006/main" count="2517" uniqueCount="1009">
  <si>
    <t>Pg</t>
  </si>
  <si>
    <t>Question</t>
  </si>
  <si>
    <t>Section</t>
  </si>
  <si>
    <t>phySci</t>
  </si>
  <si>
    <t>verbReas</t>
  </si>
  <si>
    <t>bioSci</t>
  </si>
  <si>
    <t>No</t>
  </si>
  <si>
    <t>Passage I</t>
  </si>
  <si>
    <t>Passage II</t>
  </si>
  <si>
    <t>Passage III</t>
  </si>
  <si>
    <t>Passage IV</t>
  </si>
  <si>
    <t>Passage V</t>
  </si>
  <si>
    <t>Passage VI</t>
  </si>
  <si>
    <t>CorrectAns</t>
  </si>
  <si>
    <t>InputAns</t>
  </si>
  <si>
    <t>PsgQuestion</t>
  </si>
  <si>
    <t>Passage</t>
  </si>
  <si>
    <t>Page</t>
  </si>
  <si>
    <t>ItmRwSection</t>
  </si>
  <si>
    <t>Score</t>
  </si>
  <si>
    <t>Percentile</t>
  </si>
  <si>
    <t>total</t>
  </si>
  <si>
    <t>SectionLabel</t>
  </si>
  <si>
    <t>PHYSICAL SCIENCES</t>
  </si>
  <si>
    <t>VERBAL REASONING</t>
  </si>
  <si>
    <t>BIOLOGICAL SCIENCES</t>
  </si>
  <si>
    <t>SCORE</t>
  </si>
  <si>
    <t>SheetName</t>
  </si>
  <si>
    <t>Topic</t>
  </si>
  <si>
    <t>Compounds and Stoichiometry</t>
  </si>
  <si>
    <t>Gases</t>
  </si>
  <si>
    <t>Atomic Phenomena</t>
  </si>
  <si>
    <t>Acids and Bases</t>
  </si>
  <si>
    <t>Solution Chemistry</t>
  </si>
  <si>
    <t>Electrostatics</t>
  </si>
  <si>
    <t>Magnetism</t>
  </si>
  <si>
    <t>Thermodynamics/Thermochemistry</t>
  </si>
  <si>
    <t>Rate Process/Kinetics</t>
  </si>
  <si>
    <t>Detail</t>
  </si>
  <si>
    <t>Evaluation</t>
  </si>
  <si>
    <t>Application</t>
  </si>
  <si>
    <t>Incorporation</t>
  </si>
  <si>
    <t>Deduction</t>
  </si>
  <si>
    <t>Endocrine System</t>
  </si>
  <si>
    <t>Enzymes and Cellular Metabolism</t>
  </si>
  <si>
    <t>Hydrocarbons</t>
  </si>
  <si>
    <t>Isomerism</t>
  </si>
  <si>
    <t>Alcohols and Ethers</t>
  </si>
  <si>
    <t>Amino Acids and Proteins</t>
  </si>
  <si>
    <t>Molecular Biology</t>
  </si>
  <si>
    <t>Generalized Eukaryotic Cell</t>
  </si>
  <si>
    <t>Microbiology</t>
  </si>
  <si>
    <t>Separation and Purification Techniques</t>
  </si>
  <si>
    <t>Mendelian Genetics</t>
  </si>
  <si>
    <t>Reproduction and Development</t>
  </si>
  <si>
    <t>TabLabel</t>
  </si>
  <si>
    <t>None</t>
  </si>
  <si>
    <t>Verbal Reasoning</t>
  </si>
  <si>
    <t>Biological Sciences</t>
  </si>
  <si>
    <t>Physical Sciences</t>
  </si>
  <si>
    <t>Expected_Result</t>
  </si>
  <si>
    <t>ScaledScore</t>
  </si>
  <si>
    <t>Periodic Motion and Waves</t>
  </si>
  <si>
    <t>PageTitle</t>
  </si>
  <si>
    <t>Item_Num</t>
  </si>
  <si>
    <t>Review_ID</t>
  </si>
  <si>
    <t>Title</t>
  </si>
  <si>
    <t>Sections</t>
  </si>
  <si>
    <t>Test_Structure3</t>
  </si>
  <si>
    <t>Test_Structure2</t>
  </si>
  <si>
    <t>Test_Structure1</t>
  </si>
  <si>
    <t>Start_Text</t>
  </si>
  <si>
    <t>Test_Structure4</t>
  </si>
  <si>
    <t>Sheet_Name</t>
  </si>
  <si>
    <t>Test_Directions</t>
  </si>
  <si>
    <t>Test_Procedures</t>
  </si>
  <si>
    <t>Section1</t>
  </si>
  <si>
    <t>Section2</t>
  </si>
  <si>
    <t>Section3</t>
  </si>
  <si>
    <t>Section4</t>
  </si>
  <si>
    <t>Passage_Text</t>
  </si>
  <si>
    <t>Opt_1</t>
  </si>
  <si>
    <t>Opt_2</t>
  </si>
  <si>
    <t>Opt_3</t>
  </si>
  <si>
    <t>Opt_4</t>
  </si>
  <si>
    <t>Opt_5</t>
  </si>
  <si>
    <t>Mark</t>
  </si>
  <si>
    <t>Physical Sciences - 52 questions, 70 minutes</t>
  </si>
  <si>
    <t>Biological Sciences - 52 questions, 70 minutes</t>
  </si>
  <si>
    <t>Passage VII</t>
  </si>
  <si>
    <t>Break_Title</t>
  </si>
  <si>
    <t>This is an authorized break.</t>
  </si>
  <si>
    <t>Break_Message</t>
  </si>
  <si>
    <t>I and III only</t>
  </si>
  <si>
    <t>I, II, and III</t>
  </si>
  <si>
    <t/>
  </si>
  <si>
    <t>8</t>
  </si>
  <si>
    <t>I only</t>
  </si>
  <si>
    <t>II only</t>
  </si>
  <si>
    <t>III only</t>
  </si>
  <si>
    <t>10</t>
  </si>
  <si>
    <t>4:1</t>
  </si>
  <si>
    <t>2:1</t>
  </si>
  <si>
    <t>1:2</t>
  </si>
  <si>
    <t>12</t>
  </si>
  <si>
    <t>There is no passage associated with these questions.</t>
  </si>
  <si>
    <t>20</t>
  </si>
  <si>
    <t>Total</t>
  </si>
  <si>
    <t>Percentile_Num</t>
  </si>
  <si>
    <t>Percentile_th</t>
  </si>
  <si>
    <t>Totals</t>
  </si>
  <si>
    <t>FL10</t>
  </si>
  <si>
    <t>FL11</t>
  </si>
  <si>
    <t>1</t>
  </si>
  <si>
    <t>2</t>
  </si>
  <si>
    <t>3</t>
  </si>
  <si>
    <t>4</t>
  </si>
  <si>
    <t>Cl2(g)</t>
  </si>
  <si>
    <t>O2(g)</t>
  </si>
  <si>
    <t>CO2(g)</t>
  </si>
  <si>
    <t>N2(g)</t>
  </si>
  <si>
    <t>6</t>
  </si>
  <si>
    <t>30</t>
  </si>
  <si>
    <t>40</t>
  </si>
  <si>
    <t>50</t>
  </si>
  <si>
    <t>36</t>
  </si>
  <si>
    <t>1/2</t>
  </si>
  <si>
    <t>A</t>
  </si>
  <si>
    <t>B</t>
  </si>
  <si>
    <t>C</t>
  </si>
  <si>
    <t>D</t>
  </si>
  <si>
    <t>I and III</t>
  </si>
  <si>
    <t>II and IV</t>
  </si>
  <si>
    <t>I and II</t>
  </si>
  <si>
    <t>AC/DC Circuits</t>
  </si>
  <si>
    <t>Work and Energy</t>
  </si>
  <si>
    <t>Digestive System</t>
  </si>
  <si>
    <t>Carboxylic Acids and Their Derivatives</t>
  </si>
  <si>
    <t>Nervous System</t>
  </si>
  <si>
    <t>Light</t>
  </si>
  <si>
    <t>5</t>
  </si>
  <si>
    <t>15</t>
  </si>
  <si>
    <t>28</t>
  </si>
  <si>
    <t>31</t>
  </si>
  <si>
    <t>32</t>
  </si>
  <si>
    <t>33</t>
  </si>
  <si>
    <t>0</t>
  </si>
  <si>
    <t>1:4</t>
  </si>
  <si>
    <t>Trypsin</t>
  </si>
  <si>
    <t>Based on the passage, which of the following is true?</t>
  </si>
  <si>
    <t>Phases/Phase Equilibria</t>
  </si>
  <si>
    <t>7</t>
  </si>
  <si>
    <t>9</t>
  </si>
  <si>
    <t>18</t>
  </si>
  <si>
    <t>H2O</t>
  </si>
  <si>
    <t>1/4</t>
  </si>
  <si>
    <t>Decreased gastric motility</t>
  </si>
  <si>
    <t>Equilibria</t>
  </si>
  <si>
    <t>Na2SO4</t>
  </si>
  <si>
    <t>NaCl</t>
  </si>
  <si>
    <t>II and III</t>
  </si>
  <si>
    <t>MCAT Full Length 10 - Physical Sciences</t>
  </si>
  <si>
    <t>MCAT Full Length 10 - Verbal Reasoning</t>
  </si>
  <si>
    <t>MCAT Full Length 10 - Biological Sciences</t>
  </si>
  <si>
    <t>MCAT Full Length 10 - MCAT Full Length 10</t>
  </si>
  <si>
    <t>1 A</t>
  </si>
  <si>
    <t>22.4 L</t>
  </si>
  <si>
    <t>the liver.</t>
  </si>
  <si>
    <t>0.5</t>
  </si>
  <si>
    <t>1.0</t>
  </si>
  <si>
    <t>I only.</t>
  </si>
  <si>
    <t>II and III.</t>
  </si>
  <si>
    <t>I and II.</t>
  </si>
  <si>
    <t>Which expression gives the correct energy of combustion for benzophenone?</t>
  </si>
  <si>
    <t>During bomb calorimetry, which of the following conditions best applies to the combustion of the sample inside the bomb?</t>
  </si>
  <si>
    <t>constant P</t>
  </si>
  <si>
    <t>constant T</t>
  </si>
  <si>
    <t>constant V</t>
  </si>
  <si>
    <t>constant n</t>
  </si>
  <si>
    <t>Below is a plot of the temperature of the calorimeter versus time:</t>
  </si>
  <si>
    <t>Approximately how much energy was required to raise the calorimeter's temperature by 4.92 °C?</t>
  </si>
  <si>
    <t>2.4 kcal</t>
  </si>
  <si>
    <t>12 kcal</t>
  </si>
  <si>
    <t>30 kcal</t>
  </si>
  <si>
    <t>490 kcal</t>
  </si>
  <si>
    <t>Which of the following two assumptions apply when using a bomb calorimeter to measure energy of combustion?</t>
  </si>
  <si>
    <t>neither I nor II</t>
  </si>
  <si>
    <t>A bomb calorimeter measures the heat of combustion of unknown materials. A compressed disc of the unknown sample is placed inside the bomb, which is a pressurized heavy-duty steel canister filled with pure oxygen gas. A fine iron wire runs through the sample and connects to electrodes on the canister. When the wire is ignited, both the wire and the sample burn rapidly in the oxygen, raising the calorimeter's temperature.</t>
  </si>
  <si>
    <t>The strings on a guitar have points called harmonics, which correspond to nodes produced by the oscillating standing wave of the string. If the length of a string is L, the first harmonic, or lowest note, will have a frequency of:</t>
  </si>
  <si>
    <t>c/L</t>
  </si>
  <si>
    <t>c/2L</t>
  </si>
  <si>
    <t>2Lc</t>
  </si>
  <si>
    <t>3Lc/2</t>
  </si>
  <si>
    <t>If the top plate of the guitar were made of a stiffer wood, such as oak, what would be the effect on the sound produced by the guitar?</t>
  </si>
  <si>
    <t>The pitch of the sound would increase.</t>
  </si>
  <si>
    <t>The pitch of the sound would decrease.</t>
  </si>
  <si>
    <t>The guitar would be louder.</t>
  </si>
  <si>
    <t>The guitar would be quieter.</t>
  </si>
  <si>
    <t>What would be the effect on the sound of the guitar if it were played at a high altitude?</t>
  </si>
  <si>
    <t>The decrease in gravity would slow down the vibrations of the strings and therefore decrease the pitch.</t>
  </si>
  <si>
    <t>The decrease in gravity would increase the amplitude of the vibrating strings and increase pitch.</t>
  </si>
  <si>
    <t>There would be no change.</t>
  </si>
  <si>
    <t>The air would be less dense, so the frequency of the waves would decrease due to a decrease in the restoring force of the air in simple harmonic motion.</t>
  </si>
  <si>
    <t>The air oscillating at the sound hole has:</t>
  </si>
  <si>
    <t>a lower frequency than the oscillation of the strings.</t>
  </si>
  <si>
    <t>the same frequency as the oscillation of the strings.</t>
  </si>
  <si>
    <t>the same amplitude as the oscillation of the strings.</t>
  </si>
  <si>
    <t>a lower amplitude than the oscillation of the strings.</t>
  </si>
  <si>
    <t>The sound of a woodwind instrument is generated by standing waves produced in a tube that is open at one end and closed at the other. The pitch of the sound is varied by adjusting the length of this tube through valves or slides. If a guitar string is the same length as a woodwind tube, the ratio of the wavelength of the guitar's lowest possible note to the wavelength of the woodwind's lowest note is:</t>
  </si>
  <si>
    <t>After a guitarist tuned his guitar while it was cold from being outside, then allowed the guitar's temperature to increase to room temperature, the guitar was no longer in tune. As the guitar's temperature increased,</t>
  </si>
  <si>
    <t>11</t>
  </si>
  <si>
    <t>the air inside expanded and therefore the frequency of the air oscillating at the sound hole changed.</t>
  </si>
  <si>
    <t>the mass of the strings increased.</t>
  </si>
  <si>
    <t>the tension on the strings decreased.</t>
  </si>
  <si>
    <t>the density of the air increased, and therefore the frequency increased.</t>
  </si>
  <si>
    <t>When plucked, the strings on a guitar oscillate with a frequency that is dependent on three factors: the mass, the tension, and the length. Mass, tension, and length are all inversely proportional to frequency of the wave produced. This frequency of oscillation determines the pitch of the note. The higher the frequency, the higher the note. The strings are stretched between the bridge on the body and the tuning pegs at the end of the neck. So while the length of the strings is fixed, the tension can be adjusted by the tuning pegs. Tuning changes the fundamental frequency of the standing waves produced by the strings so that they match a set of predetermined frequencies that correspond to notes. For example, the A string on the guitar has a fundamental frequency of 100Hz.</t>
  </si>
  <si>
    <t>An object is dropped from a height of 200 m above the earth and observed to reach a terminal velocity of 25 m/s. The same object is taken to the moon and dropped from a height of 200 m. Which of the following will be observed regarding the object's terminal velocity on the moon?</t>
  </si>
  <si>
    <t>The object's terminal velocity will be less than 25 m/s.</t>
  </si>
  <si>
    <t>The object's terminal velocity will be 25 m/s.</t>
  </si>
  <si>
    <t>The object's terminal velocity will be more than 25 m/s.</t>
  </si>
  <si>
    <t>The object will not reach terminal velocity.</t>
  </si>
  <si>
    <t>Which of the following statements is true regarding a gas whose pressure was reduced via a constant-volume process?</t>
  </si>
  <si>
    <t>13</t>
  </si>
  <si>
    <t>An RC series circuit consists of an ideal battery of emf Ε, a capacitor of capacitance C, and a resistor of resistance R wired in series. When the capacitor is charging, the magnitude of charge stored on the plates of the capacitor is given by the equation: q = C Ε (1 –e-t/RC). Which of the following statements regarding the charging of a capacitor is NOT true?</t>
  </si>
  <si>
    <t>14</t>
  </si>
  <si>
    <t>Inserting a dielectric will increase the time it takes to charge the capacitor.</t>
  </si>
  <si>
    <t>The capacitor becomes fully charged as time approaches infinity.</t>
  </si>
  <si>
    <t>As the capacitor becomes fully charged the current approaches zero.</t>
  </si>
  <si>
    <t>Decreasing the resistance R will increase the time it takes to charge the capacitor.</t>
  </si>
  <si>
    <t>The power of solar radiation incident on a solar panel is 40 kW. If the efficiency of the solar panel is 20%, how much energy does the solar panel generate in 200 minutes?</t>
  </si>
  <si>
    <t>1.2 MJ</t>
  </si>
  <si>
    <t>36.0 MJ</t>
  </si>
  <si>
    <t>96.0 MJ</t>
  </si>
  <si>
    <t>120 MJ</t>
  </si>
  <si>
    <t>Which of the following salts would cause the most problems by precipitation in water pipes and fixtures?</t>
  </si>
  <si>
    <t>16</t>
  </si>
  <si>
    <t>CaCl2</t>
  </si>
  <si>
    <t>CaSO4</t>
  </si>
  <si>
    <t>If the pH of carbonated water (water with dissolved carbon dioxide) is 5, what is the hydrogen ion concentration?</t>
  </si>
  <si>
    <t>17</t>
  </si>
  <si>
    <t>1 × 10-5 M</t>
  </si>
  <si>
    <t>5 M</t>
  </si>
  <si>
    <t>5 × 10-5 M</t>
  </si>
  <si>
    <t>1 × 10-9 M</t>
  </si>
  <si>
    <t>Water softeners replace calcium ions in hard water with sodium ions. By doing so, water softeners do all of the following except:</t>
  </si>
  <si>
    <t>add more cations to the solution</t>
  </si>
  <si>
    <t>decrease the freezing point of the solution</t>
  </si>
  <si>
    <t>decrease the osmotic pressure of the solution</t>
  </si>
  <si>
    <t>increase the boiling point of the solution</t>
  </si>
  <si>
    <t>Which of the following would affect the boiling point of an aqueous solution without altering its electrical conductance?</t>
  </si>
  <si>
    <t>19</t>
  </si>
  <si>
    <t>Methanol</t>
  </si>
  <si>
    <t>Acetic Acid</t>
  </si>
  <si>
    <t>Sodium chloride</t>
  </si>
  <si>
    <t>Sodium benzoate</t>
  </si>
  <si>
    <t>Under what conditions will liquid water have absolutely no ions in solution?</t>
  </si>
  <si>
    <t>In equilibrium with ice at 0 oC</t>
  </si>
  <si>
    <t>As a 90% sucrose solution</t>
  </si>
  <si>
    <t>Perfectly buffered pH 7.00 solution</t>
  </si>
  <si>
    <t>Water is such an efficient solvent that it is referred to as the "universal solvent". Most compounds are at least partially soluble in water, which makes the purifying of water difficult. Even in research facilities, sterile and deionized water is usually neither sterile nor devoid of solutes. The pH of this water is often as low as 5 instead of the expected 7 for pure water. Distillation of water (the process of evaporating and condensing water to remove impurities) is not a perfect method for purifying water, as distilled water will leach substances out of any container or tubing it is placed in. Water will also dissolve gases from the air. While nitrogen gas (the main constituent in air) is inert for most purposes, oxygen in the water can lead to oxidation of any solutes. Carbon dioxide complexes with water to form carbonic acid, H2CO3. Even though carbonic acid is a weak acid, the pH of a standing body of pure water will drop steadily if left exposed to air.</t>
  </si>
  <si>
    <t>When all switches are closed, what is the total current passing through the circuit?</t>
  </si>
  <si>
    <t>21</t>
  </si>
  <si>
    <t>2 A</t>
  </si>
  <si>
    <t>6 A</t>
  </si>
  <si>
    <t>9 A</t>
  </si>
  <si>
    <t>After some time, electrons no longer migrate to one side of the first conductor, although the magnetic field is on. Which best explains this phenomenon?</t>
  </si>
  <si>
    <t>22</t>
  </si>
  <si>
    <t>After some time, the resistance of the circuit will be too high for current to flow.</t>
  </si>
  <si>
    <t>The magnetic field produced by the vertical current carrying wires to the side of the conductor will balance the external magnetic field.</t>
  </si>
  <si>
    <t>The electric force resulting from charge separation in the conductor will balance the magnetic force on the electrons.</t>
  </si>
  <si>
    <t>The conductor will experience dielectric breakdown.</t>
  </si>
  <si>
    <t>What is the ratio of ΔVH for the conductor used in Experiment 1 to the ΔVH for the conductor used in Experiment 2?</t>
  </si>
  <si>
    <t>23</t>
  </si>
  <si>
    <t>-1.0</t>
  </si>
  <si>
    <t>-0.5</t>
  </si>
  <si>
    <t>Which of the following do the conductors used in Experiments 1 and 2 have in common?</t>
  </si>
  <si>
    <t>24</t>
  </si>
  <si>
    <t>Which of the following would not increase the magnitude of ΔVh?</t>
  </si>
  <si>
    <t>25</t>
  </si>
  <si>
    <t>an increase in the strength of the external magnetic field.</t>
  </si>
  <si>
    <t>an increase in the Eh.</t>
  </si>
  <si>
    <t>an increase in the magnitude of charge on the carriers.</t>
  </si>
  <si>
    <t>an increase in the speed of the charge carriers.</t>
  </si>
  <si>
    <t>A student constructs a circuit, Figure 1, in order to examine the conducting properties of two different metals. The battery in the circuit has a voltage V1=18 V; the four resistors have resistance R1= 3 Ω, R2= 6 Ω, R3= 6 Ω, and R4= 3 Ω. The bottom circuit contains a 0.150 m square conducting plate, C.</t>
  </si>
  <si>
    <t>The emission spectra of elements are discrete lines because</t>
  </si>
  <si>
    <t>26</t>
  </si>
  <si>
    <t>Photons carry discrete amounts of energy.</t>
  </si>
  <si>
    <t>The frequency of light can only take certain discrete values.</t>
  </si>
  <si>
    <t>The energy of the atoms assumes only discrete values.</t>
  </si>
  <si>
    <t>The atoms consist of discrete components.</t>
  </si>
  <si>
    <t>For the reaction A + B → C, determine the order of the reaction with respect to B from the information given below.</t>
  </si>
  <si>
    <t>27</t>
  </si>
  <si>
    <t>zero order</t>
  </si>
  <si>
    <t>first order</t>
  </si>
  <si>
    <t>second order</t>
  </si>
  <si>
    <t>third order</t>
  </si>
  <si>
    <t>For a hydrogen atom to become ionized, light of maximum wavelength is needed. The ionization energy of the hydrogen atom is 13.6 eV. For an electron in an atom with ionization energy , the light needed to ionize the atom must have wavelength λ</t>
  </si>
  <si>
    <t>smaller or equal to</t>
  </si>
  <si>
    <t>smaller or equal to 2λ0</t>
  </si>
  <si>
    <t>smaller or equal to 4λ0</t>
  </si>
  <si>
    <t>Wires of the same length are made from metals A and B. Metal A has a coefficient of linear expansion equal to three times that of metal B. Both wires are heated independently but uniformly from an initial temperature of 30°C and the heating is stopped when their final lengths are again equal. If wire A is removed from the heat source when its final temperature is 40°C, what is the final temperature of wire B?</t>
  </si>
  <si>
    <t>29</t>
  </si>
  <si>
    <t>35°C</t>
  </si>
  <si>
    <t>40°C</t>
  </si>
  <si>
    <t>50°C</t>
  </si>
  <si>
    <t>60°C</t>
  </si>
  <si>
    <t>Suppose an engine manufacturer discovers that his engine has an efficiency of 0.20. If the engine's high temperature reservoir is at 375 K, then the low temperature reservoir may be at:</t>
  </si>
  <si>
    <t>280 K</t>
  </si>
  <si>
    <t>300 K</t>
  </si>
  <si>
    <t>360 K</t>
  </si>
  <si>
    <t>370 K</t>
  </si>
  <si>
    <t>A perfectly thermally insulated engine uses a monatomic, ideal gas to raise a piston. When the gas expands, which of the following must be true?</t>
  </si>
  <si>
    <t>temperature decreases</t>
  </si>
  <si>
    <t>temperature increases</t>
  </si>
  <si>
    <t>temperature is constant</t>
  </si>
  <si>
    <t>temperature increases, then decreases</t>
  </si>
  <si>
    <t>The gas inside an engine begins at a volume of 1.5 L and pressure of 2.5 atm. Which final state allows the gas to do a maximum amount of work during a reversible isothermal process?</t>
  </si>
  <si>
    <t>2.5 L, 1.5 atm</t>
  </si>
  <si>
    <t>2.0 L, 1.5 atm</t>
  </si>
  <si>
    <t>3.0 L, 2.0 atm</t>
  </si>
  <si>
    <t>3.0 L, 2.5 atm</t>
  </si>
  <si>
    <t>According to the passage, which of the following does the 2nd law of thermodynamics imply?</t>
  </si>
  <si>
    <t>Heat added to a system must raise the internal energy of the system, or cause it to do work.</t>
  </si>
  <si>
    <t>The difference in TH and TL for a real engine must always be less than the difference for an ideal engine.</t>
  </si>
  <si>
    <t>Absolute zero is unattainable.</t>
  </si>
  <si>
    <t>It is impossible to make heat flow from a lower temperature body to a higher temperature one.</t>
  </si>
  <si>
    <t>A heat engine contains 4.7 moles of an ideal monatomic gas initially at 412 K. If 1 m3 of the gas has a total internal energy of 1250 J, what is the final pressure once 1250 J of heat are added without letting the gas expand?</t>
  </si>
  <si>
    <t>34</t>
  </si>
  <si>
    <t>8.33 × 10−2 N/m2</t>
  </si>
  <si>
    <t>1.667 × 10−1 N/m2</t>
  </si>
  <si>
    <t>833 N/m2</t>
  </si>
  <si>
    <t>1667 N/m2</t>
  </si>
  <si>
    <t>Since the sun maintains a temperature gradient between water at the surface and water at the bottom of the ocean, the ocean itself may be used to provide high and low temperature reservoirs for a heat engine. Supposing such an engine, which of the following is true?</t>
  </si>
  <si>
    <t>35</t>
  </si>
  <si>
    <t>An engine contains 3.0 moles of a monatomic, ideal gas, which is used to raise a piston upward. If the piston begins at a height of 2.5 cm, which statement may be true after the gas absorbs 7679 J of heat?</t>
  </si>
  <si>
    <t>The height of the piston equals 2.5 cm and the internal energy has decreased.</t>
  </si>
  <si>
    <t>The height of the piston is less than 2.5 cm and the internal energy has remained constant.</t>
  </si>
  <si>
    <t>The height of the piston is greater than 2.5 cm and the internal energy has increased.</t>
  </si>
  <si>
    <t>The height of the piston is less than 2.5 cm and the internal energy has decreased.</t>
  </si>
  <si>
    <t>Physicists have long known that mechanical energy could be converted into thermal energy. In the 18th century, the realization that thermal energy could generate mechanical work revolutionized industry by allowing the development of the heat engine. The premise of the heat engine relies on Clausius's statement of the second law of thermodynamics: heat flows naturally from a hot object to a cold object, while the reverse process will not be spontaneous. When heat flows from a high temperature to a low temperature reservoir, usable mechanical energy can be obtained.</t>
  </si>
  <si>
    <t>Azeotropic mixtures resemble pure compounds in many ways. However, they differ from pure compounds in that changing the pressure:</t>
  </si>
  <si>
    <t>37</t>
  </si>
  <si>
    <t>changes the boiling point.</t>
  </si>
  <si>
    <t>changes the percent composition of the vapor.</t>
  </si>
  <si>
    <t>creates two immiscible layers.</t>
  </si>
  <si>
    <t>changes the volume of the liquid.</t>
  </si>
  <si>
    <t>Excess water was added to the azeotropic binary mixture and any gas produced was collected. What was the volume at STP of the gas?</t>
  </si>
  <si>
    <t>38</t>
  </si>
  <si>
    <t>44.8 L</t>
  </si>
  <si>
    <t>89.6 L</t>
  </si>
  <si>
    <t>179.2 L</t>
  </si>
  <si>
    <t>When the azeotrope is at the boiling point, the average kinetic energy of the molecules in the liquid is:</t>
  </si>
  <si>
    <t>39</t>
  </si>
  <si>
    <t>greater than the average kinetic energy of the gas molecules.</t>
  </si>
  <si>
    <t>less than the average kinetic energy of the gas molecules.</t>
  </si>
  <si>
    <t>the same as the average kinetic energy of the gas molecules.</t>
  </si>
  <si>
    <t>zero, the molecules in the liquid have no kinetic energy.</t>
  </si>
  <si>
    <t>Real gases often do not behave as the ideal gas law predicts. One would expect that if we subject a real gas to high pressures:</t>
  </si>
  <si>
    <t>the volume would be greater than expected by the ideal gas law because of molecular repulsive forces.</t>
  </si>
  <si>
    <t>the volume would be greater than expected by the ideal gas law because of molecular attractive forces.</t>
  </si>
  <si>
    <t>the volume would be less than that expected by the ideal gas law because of molecular repulsive forces.</t>
  </si>
  <si>
    <t>the volume would be less than that expected by the ideal gas law because of molecular attractive forces.</t>
  </si>
  <si>
    <t>Silicon and its compounds form the basis of most of the developments in the electronics industry. The element is prepared by reducing the oxide with carbon, but the resulting silicon contains impurities, such as SiC. Because the electronic properties of silicon are sensitive to impurities, it is important that the silicon used be pure. This purification is normally accomplished by first making a silicon halide.</t>
  </si>
  <si>
    <t>At which points should a voltmeter be connected in order to determine the output current of the cell as stated in the passage?</t>
  </si>
  <si>
    <t>41</t>
  </si>
  <si>
    <t>g and f</t>
  </si>
  <si>
    <t>d and f</t>
  </si>
  <si>
    <t>h and a</t>
  </si>
  <si>
    <t>d and e</t>
  </si>
  <si>
    <t>An axon is at its resting potential. The command potential is set to +80mV. What would happen if the circuit were grounded at point b instead of point g?</t>
  </si>
  <si>
    <t>42</t>
  </si>
  <si>
    <t>The current into the cell will be reversed in sign.</t>
  </si>
  <si>
    <t>The magnitude of the current into the cell will be smaller.</t>
  </si>
  <si>
    <t>The measured Vm will be negative.</t>
  </si>
  <si>
    <t>There will be no measurable effect.</t>
  </si>
  <si>
    <t>A third 5 mΩ resistor is added, connecting at points d and e. If R1= 3 mΩ, R2= 2.5 mΩ, and the total voltage output is 12mV, what is the current at point X indicated below?</t>
  </si>
  <si>
    <t>43</t>
  </si>
  <si>
    <t>1.20 × 10–2 A</t>
  </si>
  <si>
    <t>5.56 × 10–1 A</t>
  </si>
  <si>
    <t>9.21 × 10–2 A</t>
  </si>
  <si>
    <t>8.57 × 10–1 A</t>
  </si>
  <si>
    <t>The current in the delivery wire creates a small magnetic field. A researcher sets the command potential to –75mV and measures an initial Vm of –50mV. In which direction does the magnetic field point above the wire?</t>
  </si>
  <si>
    <t>44</t>
  </si>
  <si>
    <t>into the page</t>
  </si>
  <si>
    <t>out of the page</t>
  </si>
  <si>
    <t>to the right</t>
  </si>
  <si>
    <t>cannot be determined from the given information</t>
  </si>
  <si>
    <t>The applied current is calculated to be +3 mA. What must be true about the cell's net ion flow?</t>
  </si>
  <si>
    <t>45</t>
  </si>
  <si>
    <t>Positive ions are flowing in.</t>
  </si>
  <si>
    <t>Positive ions are flowing out.</t>
  </si>
  <si>
    <t>Negative ions are flowing out.</t>
  </si>
  <si>
    <t>Either A or C.</t>
  </si>
  <si>
    <t>Given R1 = 3Ω and R2 = 1Ω, and that the potential between d and f is –25mV, how many electrons pass through point f in 4 seconds and in which direction? (The charge of an electron is -1.6 × 10-19 C.)</t>
  </si>
  <si>
    <t>46</t>
  </si>
  <si>
    <t>3.54 × 10-28 away from the cell</t>
  </si>
  <si>
    <t>2.04 × 1016 toward the cell</t>
  </si>
  <si>
    <t>1.56 × 1017 away from the cell</t>
  </si>
  <si>
    <t>1.84 × 10-27 toward the cell</t>
  </si>
  <si>
    <t>The wire which delivers the current to the axon has a non-negligible resistance. If a wire with double the diameter of the original replaces it, what is the ratio of power output between the old wire and the new one?</t>
  </si>
  <si>
    <t>47</t>
  </si>
  <si>
    <t>At rest, neurons are negatively charged with respect to the extracellular fluid. The magnitude of this electrical difference is referred to as Vm, the cell's membrane potential. An action potential is a positive change in membrane voltage initiated, carried, and terminated by different electrical currents across the membrane.</t>
  </si>
  <si>
    <t>Mass M1 has twice the mass of M2. M1 and M2 are raised from a height of 15 m to 35 m, and 24 m to 34 m, respectively. What is the ratio of the work done on mass M1 to that done on mass M2?</t>
  </si>
  <si>
    <t>48</t>
  </si>
  <si>
    <t>25:12</t>
  </si>
  <si>
    <t>Consider a marble rolling back and forth near the bottom of a curved bowl that has the shape of a hollow hemisphere. The marble exhibits simple harmonic motion as long as its maximum displacement from the center is not very large. All of the following are true of the marble's motion EXCEPT:</t>
  </si>
  <si>
    <t>49</t>
  </si>
  <si>
    <t>The marble is instantaneously at rest when it's the farthest from the center.</t>
  </si>
  <si>
    <t>The velocity of the marble is constant as it moves back and forth.</t>
  </si>
  <si>
    <t>All systems undergoing simple harmonic motion have a period which is independent of the maximum displacement.</t>
  </si>
  <si>
    <t>The direction of the normal force varies as the position of the marble changes since the bowl has curvature.</t>
  </si>
  <si>
    <t>A particle of mass m moves in a circle of radius r at a uniform speed and makes 2 revolutions per second. What is the kinetic energy of the particle?</t>
  </si>
  <si>
    <t>m2r2/42</t>
  </si>
  <si>
    <t>8π2mr2</t>
  </si>
  <si>
    <t>4π2mr2</t>
  </si>
  <si>
    <t>mr2/2</t>
  </si>
  <si>
    <t>The Haber Process for the production of ammonia is represented by the equation below:</t>
  </si>
  <si>
    <t>51</t>
  </si>
  <si>
    <t>The yield of ammonia is increased because the reaction is exothermic.</t>
  </si>
  <si>
    <t>The yield of ammonia is decreased because the reaction is endothermic.</t>
  </si>
  <si>
    <t>The yield of ammonia is decreased because the reaction is exothermic.</t>
  </si>
  <si>
    <t>The yield of ammonia is increased because the reaction is endothermic.</t>
  </si>
  <si>
    <t>Which of the following will have the smallest root mean square speed at 298K?</t>
  </si>
  <si>
    <t>52</t>
  </si>
  <si>
    <t>According to the passage, the author agrees which of the following statements about ballet?</t>
  </si>
  <si>
    <t>Although known for it apparent grace and beauty, the performance belies the rigors achieving the final product.</t>
  </si>
  <si>
    <t>The duality and overwhelming dangers of ballet is the primary reason young girls are shying away from ballet.</t>
  </si>
  <si>
    <t>If better funded, producers such as George Balanchine would be better able to work on facial expressions as well as artistic style.</t>
  </si>
  <si>
    <t>The numerous health tolls incurred by ballerinas attempting to maintain the "Balanchine look" limits their longevity.</t>
  </si>
  <si>
    <t>According to the passage, which of the following describes what the typical ballet audiences primarily see?</t>
  </si>
  <si>
    <t>The hidden grace and obvious beauty of a dying art.</t>
  </si>
  <si>
    <t>An elaboration of a singleminded vision designed to give life to a choreographer's vision.</t>
  </si>
  <si>
    <t>The subtly destructive nature of ballet.</t>
  </si>
  <si>
    <t>Consistently beautiful facial expressions, especially from dancers of the NYCB performing under George Balanchine.</t>
  </si>
  <si>
    <t>According to the author, which of the following statements are supported by evidence, explanation or example about George Balanchine?</t>
  </si>
  <si>
    <t>Dancers such as Merrill Ashley sternly blamed Balanchine for an increase in eating disorders among dancers such as herself</t>
  </si>
  <si>
    <t>He was principally responsible for the "vacant look" so popular with critics on dancer's faces.</t>
  </si>
  <si>
    <t>A lack of emphasis placed on the dancers as opposed to other choreographers of his time.</t>
  </si>
  <si>
    <t>Single-handedly responsible for founding the world's most prolific ballet company.</t>
  </si>
  <si>
    <t>Which of the following statements, if true, would most STRENGTHEN the author's argument that ballet's beauty is manufactured, rather than arising naturally?</t>
  </si>
  <si>
    <t>Many of Balanchine's contemporaries also regarded facial expressions as of lower priority than overall form.</t>
  </si>
  <si>
    <t>Karinska, the New York City Ballet's costume mistress, was known to personally see to the placement of every sequin.</t>
  </si>
  <si>
    <t>Balanchine hired an extremely large number of personal assistants to help him with the day to day affairs of running a ballet company.</t>
  </si>
  <si>
    <t>There were numerous documented instances where Balanchine would reject dancers he deemed to be "too beautiful".</t>
  </si>
  <si>
    <t>A strong correlation exists between arts funding, the primary source of income for ballet companies, and the general economy. If the economy plummeted into a recession, which of the following would most likely NOT happen according to the passage?</t>
  </si>
  <si>
    <t>A decrease in eating disorders among dancers because as competition increases, only those who do not need to starve themselves will be left to compete.</t>
  </si>
  <si>
    <t>An increase in the quality of dancers in ballet companies.</t>
  </si>
  <si>
    <t>A decrease in total performances as companies are forced to shorten dance seasons.</t>
  </si>
  <si>
    <t>An increase in competition for positions in ballet companies corresponding to a decrease in total spots available.</t>
  </si>
  <si>
    <t>Ballet is an art form unique in its ability to transform the stage into another world with dance and music. To most casual observers, ballet is by definition beautiful. Dancers express the choreographer's vision, often through contrasting movement and intricate patterns. Costumes and sets enhance the choreography to give a full picture of grace.</t>
  </si>
  <si>
    <t>When discussing the problems of the Everglades National Park, the author apparently assumes that:</t>
  </si>
  <si>
    <t>benefits to the Park from attracting more visitors would outweigh any added environmental harm that would result.</t>
  </si>
  <si>
    <t>such funding can come only from federal sources and entrance or permit fees, and not from other public and private sources.</t>
  </si>
  <si>
    <t>visitors base their decision to visit the Park on the entrance fees, and not on the sights, facilities, convenience, or access.</t>
  </si>
  <si>
    <t>tourists who visit other Florida attractions would otherwise have visited Everglades National Park.</t>
  </si>
  <si>
    <t>It can be inferred from the passage that if the Everglades National Park were to begin charging consistent entrance fees at all its entrances:</t>
  </si>
  <si>
    <t>these fees would be higher than fees charged at the Grand Canyon or Yosemite.</t>
  </si>
  <si>
    <t>visitors would stop coming to the Park, instead choosing parks without entrance fees.</t>
  </si>
  <si>
    <t>these fees should be lower than fees charged at Grand Canyon or Yosemite.</t>
  </si>
  <si>
    <t>the Park might succeed in increasing its revenues to the levels needed for restoration.</t>
  </si>
  <si>
    <t>Assuming that sufficient funding could be found, the author would probably approve of which of the following actions as part of an Everglades restoration project?</t>
  </si>
  <si>
    <t>Eliminating manmade waterways to restore natural water flow to pre-20th century levels.</t>
  </si>
  <si>
    <t>Funding analysis of the effects of the wetland areas outside the park on those inside the Park.</t>
  </si>
  <si>
    <t>Re-opening all the floodgates along the Tamiami Trail.</t>
  </si>
  <si>
    <t>Allowing wildfires to burn uncontrolled until they die out naturally.</t>
  </si>
  <si>
    <t>According to the passage, all of the following could be reasons for keeping the manmade system of canals and waterways EXCEPT:</t>
  </si>
  <si>
    <t>controlling the flow of agricultural pollutants into the Everglades.</t>
  </si>
  <si>
    <t>reducing destructive urban flooding from waters from Lake Okeechobee.</t>
  </si>
  <si>
    <t>sustaining urban and agricultural development in land bordering the Everglades.</t>
  </si>
  <si>
    <t>helping to limit the collateral damage caused by Atlantic hurricanes.</t>
  </si>
  <si>
    <t>The author would probably agree that, when wildfires break out in the Everglades, the appropriate response would be to:</t>
  </si>
  <si>
    <t>foster the growth and spread of the fires, because they are environmentally necessary.</t>
  </si>
  <si>
    <t>avoid the use of chemical fire-fighting methods that may increase water pollution.</t>
  </si>
  <si>
    <t>immediately work to contain the fires in a limited area inside the Everglades.</t>
  </si>
  <si>
    <t>attempt to contain fires only when they threaten private property.</t>
  </si>
  <si>
    <t>It can be inferred from the passage that prior to 1962, the Tamiami Trail</t>
  </si>
  <si>
    <t>was the only roadway connecting the east and west sides of southern Florida.</t>
  </si>
  <si>
    <t>was still under construction by the US Army Corps of Engineers.</t>
  </si>
  <si>
    <t>was not part of the system of canals and waterways of the Everglades.</t>
  </si>
  <si>
    <t>contained at least one open floodgate.</t>
  </si>
  <si>
    <t>The author's argument about the effects of urban and agricultural toxins on coral reef systems would be most seriously weakened by which of the following pieces of evidence?</t>
  </si>
  <si>
    <t>Coral reef systems undergo annual periods of death and renewal.</t>
  </si>
  <si>
    <t>Toxins from agricultural runoffs are neutralized by Everglades sloughs.</t>
  </si>
  <si>
    <t>The toxins from agricultural runoffs can be transported through water.</t>
  </si>
  <si>
    <t>The coral reef systems are free from other sources of contamination.</t>
  </si>
  <si>
    <t>Prior to the 20th century, water flowed from northern Florida, through Lake Okeechobee and other rivers, into a complex system of wetlands, ponds, rivers and hardwood "tree islands", moving laggardly to the Atlantic and the Gulf of Mexico. Growing urbanization and agricultural needs slowly transformed this system, as developers, agriculturists, and the U.S. Army Corps of Engineers created an extensive scheme of drainage canals, manmade waterways, and dikes. Since 1962, when the floodgates along the Tamiami Trail were blocked, most overland water flow has been through these manmade waterways and canals, rather than through the Everglades sloughs. For the most part, the goals of these manmade waterways are twofold: (1) to prevent or reduce destructive urban flooding of the kind that followed the 1935 hurricane, and (2) to satisfy the urban and agricultural water needs of South Florida. Preserving wetland areas has been, until very recently, a decidedly tertiary consideration.</t>
  </si>
  <si>
    <t>All of the following were among the factors contributing to the weakness of the Bolshevik regime in 1921 EXCEPT:</t>
  </si>
  <si>
    <t>the aftereffects of the civil war.</t>
  </si>
  <si>
    <t>low industrial production.</t>
  </si>
  <si>
    <t>opposition by peasants.</t>
  </si>
  <si>
    <t>lack of democracy within the Party.</t>
  </si>
  <si>
    <t>The main feature of the New Economic Policy of 1921 was:</t>
  </si>
  <si>
    <t>a strict economic centralization.</t>
  </si>
  <si>
    <t>stimulation of the economy through deliberate inflation.</t>
  </si>
  <si>
    <t>a limitation of trade union activity.</t>
  </si>
  <si>
    <t>a relaxation of economic controls.</t>
  </si>
  <si>
    <t>According to the passage, a similarity between Stalin and Trotsky was their attitude and policy toward:</t>
  </si>
  <si>
    <t>the elite of the Bolshevik Party.</t>
  </si>
  <si>
    <t>the importance of industrialization.</t>
  </si>
  <si>
    <t>democracy within the party.</t>
  </si>
  <si>
    <t>trade unions.</t>
  </si>
  <si>
    <t>In his struggle with rival factions of the Bolshevik Party, Stalin was apparently most helped by:</t>
  </si>
  <si>
    <t>his control of the party organization.</t>
  </si>
  <si>
    <t>his control of the army.</t>
  </si>
  <si>
    <t>Trotsky's misjudgment of threats to his position.</t>
  </si>
  <si>
    <t>the appearance of standing above factional politics.</t>
  </si>
  <si>
    <t>The passage supports the idea that struggles within the Bolshevik Party were primarily:</t>
  </si>
  <si>
    <t>reflections of struggles among important groups in the general population.</t>
  </si>
  <si>
    <t>the result of differences over economic policy.</t>
  </si>
  <si>
    <t>the result of misdirected loyalty on the part of the Red Army.</t>
  </si>
  <si>
    <t>caused by Russian social elites outside the Party.</t>
  </si>
  <si>
    <t>The Russia which emerged from the terrible civil war after the 1917 Revolution was far from the Bolsheviks' original ideal of a non-exploitative society governed by workers and peasants. By 1921, the regime was weakened by widespread famine, persistent peasant revolts, a collapse of industrial production stemming from the civil war, and the consequent dispersal of the industrial working class—the Bolsheviks' original base of support. To buy time for recovery, the government in 1921 introduced the New Economic Policy, which allowed private trade in farm products (previously banned) and relied on a fixed grain tax instead of forced requisitions to provide food for the cities. The value of the ruble was stabilized. Trade unions were again allowed to seek higher wages and benefits, and even to strike. However, the Bolsheviks maintained a strict monopoly of power by refusing to legalize other parties.</t>
  </si>
  <si>
    <t>According to the passage, which of the following objections to the author's interpretation of Borges' infinite library would a critic most likely make?</t>
  </si>
  <si>
    <t>If all possible books exist, then a book must exist that disproves Borges' interpretation.</t>
  </si>
  <si>
    <t>Fictional universes oversimplify the complexities of reality.</t>
  </si>
  <si>
    <t>Even patterns that seem meaningless can have hidden meanings.</t>
  </si>
  <si>
    <t>The real universe contains an infinite number of possibilities rather than the finite number described in the story.</t>
  </si>
  <si>
    <t>With which of the following statements would a proponent of the traditional ontological argument NOT agree?</t>
  </si>
  <si>
    <t>Human conceptions can shed light on non-human phenomena.</t>
  </si>
  <si>
    <t>Those who argue that God doesn't exist base their logic on an incorrect definition of divinity.</t>
  </si>
  <si>
    <t>Incorrect assumptions can be useful towards arriving at correct conclusions.</t>
  </si>
  <si>
    <t>Nonexistence is not a quality that must be attributed to a hypothetical divinity.</t>
  </si>
  <si>
    <t>Which of the following statements, if true, would NOT weaken the author's argument about the applicability of Borges' model of the universe?</t>
  </si>
  <si>
    <t>The wave-like nature of particles in the universe allows for an infinite number of possible states for any given particle.</t>
  </si>
  <si>
    <t>Theories regarding possible universes other than the one we live in are inherently unscientific.</t>
  </si>
  <si>
    <t>The hexagonal shape of the rooms in Borges' library could never apply to the universe itself.</t>
  </si>
  <si>
    <t>Any other universe that exists must contain particles unique to that universe.</t>
  </si>
  <si>
    <t>A common objection to the ontological argument is that it defines existence as a quality that is greater than nonexistence, and that this definition has no support. If this objection were applied to the "pattern" described in Borges' story, the librarian would most likely respond that:</t>
  </si>
  <si>
    <t>this objection is valid for some possible libraries, but not for the library in which the librarian lives.</t>
  </si>
  <si>
    <t>nonexistence is a meaningless term when describing the library or its contents.</t>
  </si>
  <si>
    <t>the objection proves that a traditional divinity can not exist in an infinite library.</t>
  </si>
  <si>
    <t>the objection is founded a traditional idea of a library's purpose rather than the library the story describes.</t>
  </si>
  <si>
    <t>With which of the following statements about logical arguments would the author most likely agree?</t>
  </si>
  <si>
    <t>Fictional situations have little value in explaining real-world phenomena.</t>
  </si>
  <si>
    <t>Proofs are generally more convincing if they're presented in a unique manner.</t>
  </si>
  <si>
    <t>A logical proof must have the potential to convince someone of what it sets out to prove.</t>
  </si>
  <si>
    <t>Any argument must rely on empirical evidence to be valid.</t>
  </si>
  <si>
    <t>Suppose that the librarian in Borges' story discovers a book in the library that proposes the same theory of the universe that the librarian is arguing. This discovery would:</t>
  </si>
  <si>
    <t>strengthen the librarian's argument by proving that others in the library also support the theory.</t>
  </si>
  <si>
    <t>strengthen the librarian's argument by proving that order must exist within the library.</t>
  </si>
  <si>
    <t>weaken the librarian's argument that the letters within each book are chaotic and random.</t>
  </si>
  <si>
    <t>have no effect on the librarian's argument.</t>
  </si>
  <si>
    <t>As a proof for the existence of God, the ontological argument is unique in its longevity and logical rigor. Although unlikely to convince anyone of its conclusion, and therefore arguably not a true proof, it has nevertheless fascinated generations of philosophers.</t>
  </si>
  <si>
    <t>According to the passage, there was a limited time frame in which to paint a prepared rawhide because:</t>
  </si>
  <si>
    <t>the pigments dried quickly and, thus, had to be applied with speed to avoid cracking.</t>
  </si>
  <si>
    <t>if the hide were too dry it absorbed too much paint.</t>
  </si>
  <si>
    <t>if the hide were too moist it rejected the pigments.</t>
  </si>
  <si>
    <t>if the hide were too moist the paint bled, if to dry the paint wasn't absorbed.</t>
  </si>
  <si>
    <t>With which of the following statements regarding the creation of the parfleche would the author most likely to agree?</t>
  </si>
  <si>
    <t>The women in the painting society worked together on a single parfleche in a communal effort.</t>
  </si>
  <si>
    <t>Each honored female painter was responsible for her own stock of parfleche designs.</t>
  </si>
  <si>
    <t>Experienced elder painters taught younger women in the society how to apply thin paint.</t>
  </si>
  <si>
    <t>The magical protective power of the parfleche required that the entire skin be covered with symbols.</t>
  </si>
  <si>
    <t>A study comparing the art created by the Cheyenne painting societies to medieval guilds would be most likely to be WEAKENED by the fact that:</t>
  </si>
  <si>
    <t>application for membership in the painting society was required.</t>
  </si>
  <si>
    <t>the painting society's members' art had spiritual relevance to their people.</t>
  </si>
  <si>
    <t>the painting society's members' art had economic and social relevance to their people.</t>
  </si>
  <si>
    <t>strict moral and artistic standards were imposed on members of the painting society.</t>
  </si>
  <si>
    <t>Which of the following is NOT provided as an example of the spiritual aspect of the parfleche?</t>
  </si>
  <si>
    <t>In the context of the passage, the Cheyenne definition of the term moneneheo most nearly means:</t>
  </si>
  <si>
    <t>a woman's high status and prestige as an artist in Cheyenne culture.</t>
  </si>
  <si>
    <t>the process by which men joined an honor society for realistic painting.</t>
  </si>
  <si>
    <t>the process by which women were chosen for membership in the painting society.</t>
  </si>
  <si>
    <t>the self-restrictive nature of the women's painting society.</t>
  </si>
  <si>
    <t>The author describes the symbolic meanings of the diamond shape most likely in order to:</t>
  </si>
  <si>
    <t>indicate how precious the completed parfleche was to its owner.</t>
  </si>
  <si>
    <t>prove that the grasshopper was identified with the bison in Cheyenne religion.</t>
  </si>
  <si>
    <t>illustrate the complexity of the abstract forms used in creating a parfleche.</t>
  </si>
  <si>
    <t>provide an example of the many layers of symbolism involved in creating a parfleche.</t>
  </si>
  <si>
    <t>The French referred to the Plains peoples' hoemskot'eo —the envelope-shaped container for storing clothes, food, and personal items—as a parfleche. It was made of rawhide, the untanned, dried hide of an animal (bison, cattle, or deer) that remains stiff and hard. Durable and practical, the parfleche was the closet and bureau of the tipi, and attached easily to horse saddles, dog travois, or a woman's belt for traveling.</t>
  </si>
  <si>
    <t>George Washington emphasized the fact that he had no offspring with whom to occasion a hereditary leadership. In so doing, Washington attempted to demonstrate to the Founders antipathy to which of the following?</t>
  </si>
  <si>
    <t>Monarchy.</t>
  </si>
  <si>
    <t>Public approval.</t>
  </si>
  <si>
    <t>Faction.</t>
  </si>
  <si>
    <t>Succession through parties.</t>
  </si>
  <si>
    <t>Based on the information in the passage, the Founding Fathers' view of President Clinton's concern with his vacillating popularity would be which of the following?</t>
  </si>
  <si>
    <t>Approval of the extent of Clinton's presidential power.</t>
  </si>
  <si>
    <t>Approval of his protection of civil liberties.</t>
  </si>
  <si>
    <t>Disapproval of his reliance on public opinion.</t>
  </si>
  <si>
    <t>Disapproval of his immorality.</t>
  </si>
  <si>
    <t>The author's view of the Founding Fathers is one of:</t>
  </si>
  <si>
    <t>agreement with their positions on presidential leadership.</t>
  </si>
  <si>
    <t>disgust at their inaccurate predictions.</t>
  </si>
  <si>
    <t>condescension for their naiveté</t>
  </si>
  <si>
    <t>interest in the staying power of their ideas.</t>
  </si>
  <si>
    <t>Based on the information in the passage, how would the Founding Fathers view Congress's increased rejection of legislation introduced by the president?</t>
  </si>
  <si>
    <t>As a healthy balance of power.</t>
  </si>
  <si>
    <t>A dangerous usurpation of presidential power.</t>
  </si>
  <si>
    <t>A prime example of an inevitable result of factionalism.</t>
  </si>
  <si>
    <t>Unusual, but most likely due to a result of low public opinion.</t>
  </si>
  <si>
    <t>Based on the information in the passage, which of the following is a main driving force for change in the presidential office?</t>
  </si>
  <si>
    <t>Internal change spurred by changes in Administration</t>
  </si>
  <si>
    <t>Amendments of the Constitution via Congress as a result of poor presidential policy.</t>
  </si>
  <si>
    <t>The creation of new political parties, such as the change that manifest during the instantiation of the Republican Party.</t>
  </si>
  <si>
    <t>Shifts in popular opinion expressed during the term of an incumbent.</t>
  </si>
  <si>
    <t>Based on the information in the passage, George Washington and Abraham Lincoln are similar in which of the following ways?</t>
  </si>
  <si>
    <t>I, II, and III.</t>
  </si>
  <si>
    <t>America's Founding Fathers held specific views on executive leadership which they incorporated into the office of the President. The Founders primarily defined the President's leadership values by emphasizing what the President should not be.</t>
  </si>
  <si>
    <t>Based on information provided in the passage, which of the following is likely to have taken place in the Middle East prior to the establishment of the Silk Road?</t>
  </si>
  <si>
    <t>Disease epidemics occurred that were found among the Chinese populations.</t>
  </si>
  <si>
    <t>The immunity of its population against Chinese pathogens gradually decreased.</t>
  </si>
  <si>
    <t>It sustained a prolonged period of isolation from the Mediterranean populations.</t>
  </si>
  <si>
    <t>It held a higher rate of trade traffic than during the first and second centuries CE.</t>
  </si>
  <si>
    <t>The author suggests that all of the following contributed to occasional decreases in the traffic along the Silk Road during the first centuries of its existence EXCEPT:</t>
  </si>
  <si>
    <t>high tax on traders leveled by regional rulers.</t>
  </si>
  <si>
    <t>the nomadic nature of the traders</t>
  </si>
  <si>
    <t>fighting between rival armies in regions surrounding the Silk Road.</t>
  </si>
  <si>
    <t>competition between regional rulers for trade.</t>
  </si>
  <si>
    <t>Based on the passage, one can assume that the author believes which of the following about the consequences of opening the Silk Road?</t>
  </si>
  <si>
    <t>The Silk Road ceased to exist several centuries after its inception.</t>
  </si>
  <si>
    <t>The Mediterranean suffered many epidemics as a result of establishment of the Silk Road.</t>
  </si>
  <si>
    <t>After the Silk Road opened, silk was as widely used in the Mediterranean as in China.</t>
  </si>
  <si>
    <t>Returning Chinese traders brought European diseases into China via the Silk Road.</t>
  </si>
  <si>
    <t>From historical evidence, it is clear that during the first several centuries CE, the Roman Empire (which accounted for most of the Mediterranean) experienced progressively worsening population upheavals unrelated to the Silk Road trade, including substantial loss of life through war and famine. What bearing does this have on the arguments presented in the passage?</t>
  </si>
  <si>
    <t>It supports the argument that the Mediterranean population experienced a long period of decline during the first millennium CE.</t>
  </si>
  <si>
    <t>It undercuts the argument that the Mediterranean population decline was the effect of new diseases brought from China on the Silk Road.</t>
  </si>
  <si>
    <t>It undercuts the argument that social and political instability was often the result of fierce competition for a lucrative resource.</t>
  </si>
  <si>
    <t>It supports the argument that the Silk Road was often unwelcoming to traders by providing another reason for periods of low trade.</t>
  </si>
  <si>
    <t>Based on information in the passage, one can infer that the Silk Road connected the Mediterranean and China over:</t>
  </si>
  <si>
    <t>the only passable natural route through the Middle East and Central Asia.</t>
  </si>
  <si>
    <t>a set of interchangeable routes through the Middle East and Central Asia.</t>
  </si>
  <si>
    <t>one route in the first century CE, and a different one in the second century CE.</t>
  </si>
  <si>
    <t>a different route in the first and second centuries CE than was used in later centuries.</t>
  </si>
  <si>
    <t>The Silk Road, connecting China, Central Asia, the Middle East, Europe and North Africa, initially flourished during the first century CE. Although this was not a period of intense cross-cultural contact these first sustained encounters were crucial to civilization's development. At this time, two major powers had achieved sufficient stability to anchor the opposite ends of the network of trade routes that crossed Eurasia. The Roman Empire secured the network at the Mediterranean, and China's Han Empire at its eastern terminus. Nomadic peoples acted as intermediaries, conveying the goods and consuming the finished products of more settled societies. The basic routes had existed for many years; in fact, on some portions of the Road organized trade can be dated back to about 3000 BCE. However, the Silk Road represents the first time that Chinese and European merchants and travelers were brought into sustained contact.</t>
  </si>
  <si>
    <t>Based on information in the passage, biochemical measurements of gene products in a male and female would produce which of the following results?</t>
  </si>
  <si>
    <t>The female would have twice the amount of gene products as the male.</t>
  </si>
  <si>
    <t>The male would have twice the amount of gene products as the female.</t>
  </si>
  <si>
    <t>The male and female would have equal amounts of gene products.</t>
  </si>
  <si>
    <t>The female would have slightly more gene products than the male.</t>
  </si>
  <si>
    <t>Lesch-Nyhan syndrome is a lethal X-linked disorder caused by the lack of the enzyme hprt, meaning the cells are hprt–. Skin cells from a woman who is heterozygous for this disease would be:</t>
  </si>
  <si>
    <t>all hprt+ only.</t>
  </si>
  <si>
    <t>all hprt– only.</t>
  </si>
  <si>
    <t>all both hprt+ and hprt–.</t>
  </si>
  <si>
    <t>some hprt+ and some hprt–.</t>
  </si>
  <si>
    <t>A female zygote has two active X chromosomes.</t>
  </si>
  <si>
    <t>Some female ovum have inactive X chromosomes.</t>
  </si>
  <si>
    <t>One entire X chromosome is inactivated in all cells.</t>
  </si>
  <si>
    <t>Daughter cells may inactivate the opposite chromosome as the parent cell.</t>
  </si>
  <si>
    <t>Cells with an abnormal number of chromosomes are aneuploid, a condition which is fatal with all chromosomes except the X chromosome. What would be the phenotypic results of an individual with three X chromosomes?</t>
  </si>
  <si>
    <t>The phenotype would be 47, XXX.</t>
  </si>
  <si>
    <t>Phenotypic disorders would be mild.</t>
  </si>
  <si>
    <t>Phenotypic disorders would be severe.</t>
  </si>
  <si>
    <t>This would be a lethal phenotype.</t>
  </si>
  <si>
    <t>Which of the following is false regarding the X-inactivated chromosome in the female embryo?</t>
  </si>
  <si>
    <t>Lack of inactivation is lethal.</t>
  </si>
  <si>
    <t>The pseudoautosomal region is transcribed.</t>
  </si>
  <si>
    <t>The embryo only has an active maternal chromosome.</t>
  </si>
  <si>
    <t>It is inactivated by XIST RNA.</t>
  </si>
  <si>
    <t>Which of the following is false regarding the XIST gene?</t>
  </si>
  <si>
    <t>It is present on both X chromosomes.</t>
  </si>
  <si>
    <t>Its product coats the inactive X chromosome</t>
  </si>
  <si>
    <t>It causes X-inactivation of all but the pseudoautosomal region.</t>
  </si>
  <si>
    <t>It encodes for a type of X-inactivating mRNA.</t>
  </si>
  <si>
    <t>Which of the following must be true regarding the pedigree in figure 1?</t>
  </si>
  <si>
    <t>Females III-1 and III-2 will be carriers of the disease.</t>
  </si>
  <si>
    <t>Female I-1 will not be a carrier of the disease.</t>
  </si>
  <si>
    <t>The pedigree depicts an autosomal recessive disease.</t>
  </si>
  <si>
    <t>The pedigree depicts an X-linked dominant disease.</t>
  </si>
  <si>
    <t>In order for a female embryo to survive once it reaches 100 cells, one of the X chromosomes in each cell must be inactivated by a special type of RNA encoded by the XIST gene. XIST RNA is very large and is initially produced by both X chromosomes. However transcription will stop on one chromosome while continuing on the other with XIST RNA traveling along the X chromosome, inactivating almost all of the genes present there. This permanently inactive chromosome, known as a Barr body, is covered with XIST RNA, highly condensed, and then passed down to all daughter cells in its inactive form, always being the last chromosome replicated. This same inactivation will occur for all excess X chromosomes.</t>
  </si>
  <si>
    <t>What is the rate expression for the reaction in Flask 1B?</t>
  </si>
  <si>
    <t>Rate = k[(CH3)3CBr]</t>
  </si>
  <si>
    <t>Rate = k[(CH3)3CBr][OH–]</t>
  </si>
  <si>
    <t>Rate = k[(CH3)3CBr]2[OH–]</t>
  </si>
  <si>
    <t>The rate equation cannot be determined with the information given.</t>
  </si>
  <si>
    <t>How would Experiment 2 change if Flask 2B were run in acetone rather than DMSO?</t>
  </si>
  <si>
    <t>The reaction would progress significantly more quickly.</t>
  </si>
  <si>
    <t>The reaction would not occur in acetone.</t>
  </si>
  <si>
    <t>The products of the reaction would be different.</t>
  </si>
  <si>
    <t>The reaction would not change substantially.</t>
  </si>
  <si>
    <t>In Experiment 2, which flask will contain a faster reaction, and why?</t>
  </si>
  <si>
    <t>Flask 2A because SN1 reactions prefer protic solvents.</t>
  </si>
  <si>
    <t>Flask 2A because methanol is more polar and more adequately dissolves the reactants.</t>
  </si>
  <si>
    <t>Flask 2B because DMSO does not hydrogen bond with the reactants.</t>
  </si>
  <si>
    <t>There will be no significant difference in the rates between the two flasks because both solvents adequately dissolve the reactants.</t>
  </si>
  <si>
    <t>What is the difference in proportion of products seen in the two flasks in Experiment 3?</t>
  </si>
  <si>
    <t>Flask 3A will contain only the elimination product.</t>
  </si>
  <si>
    <t>Flask 3A will contain only the substitution product.</t>
  </si>
  <si>
    <t>Flask 3A will contain more elimination product than Flask 3B.</t>
  </si>
  <si>
    <t>Flask 3A will contain less elimination product than Flask 3B.</t>
  </si>
  <si>
    <t>Which flask in Experiment 4 will be better at making the substitution product shown?</t>
  </si>
  <si>
    <t>Because the leaving group and the nucleophile are the same in both flasks, the reactions are both equally good at making the substitution product shown.</t>
  </si>
  <si>
    <t>Because NaCl is more soluble in water, Flask 4B will be better at making the substitution product shown.</t>
  </si>
  <si>
    <t>Because the acidity of HCl is capable of protonating the hydroxyl group to make it a better leaving group, Flask 4A will be better at making the substitution product shown.</t>
  </si>
  <si>
    <t>It is impossible to determine from general trends, which of these two reactions will be better at producing the substitution product shown.</t>
  </si>
  <si>
    <t>Experiment 1</t>
  </si>
  <si>
    <t>Cystic fibrosis is a disease in which a chloride transporter is defective, causing, among other issues, deficiency of the pancreatic exocrine functions. Deficiency of what enzyme mimics pancreatic exocrine insufficiency?</t>
  </si>
  <si>
    <t>Cholecystokinin</t>
  </si>
  <si>
    <t>Secretin</t>
  </si>
  <si>
    <t>Gastric inhibitory peptide</t>
  </si>
  <si>
    <t>In the male, a Leydig cell tumor would cause:</t>
  </si>
  <si>
    <t>feminization due to increased binding of androgens by androgen-binding proteins.</t>
  </si>
  <si>
    <t>virilization due to excessive androgen production.</t>
  </si>
  <si>
    <t>infertility due to inadequate androgen production.</t>
  </si>
  <si>
    <t>an increase in luteinizing hormone (LH) levels due to lack of negative inhibition on the posterior pituitary.</t>
  </si>
  <si>
    <t>Supplementation of folic acid is shown to reduce neural tube defects in the general population. From this information, it can be concluded that folic acid is most likely involved in:</t>
  </si>
  <si>
    <t>a signal pathway vital to induction in the ectoderm.</t>
  </si>
  <si>
    <t>a nerve transmission pathway in the fetus.</t>
  </si>
  <si>
    <t>hematopoeisis.</t>
  </si>
  <si>
    <t>maintenance of a patent ductus venosus.</t>
  </si>
  <si>
    <t>Which of the following has the lowest boiling point?</t>
  </si>
  <si>
    <t>n-pentane</t>
  </si>
  <si>
    <t>isopentane</t>
  </si>
  <si>
    <t>2-methylbut-2-ene</t>
  </si>
  <si>
    <t>pent-2-yne</t>
  </si>
  <si>
    <t>Some evidence shows that women run "ultramarathons" (greater than 50 miles) more easily than men. What is a possible explanation for this?</t>
  </si>
  <si>
    <t>A women's blood pH is naturally lower.</t>
  </si>
  <si>
    <t>Women have greater fat reserves.</t>
  </si>
  <si>
    <t>Women switch to fat metabolism more easily.</t>
  </si>
  <si>
    <t>Women have greater willpower.</t>
  </si>
  <si>
    <t>A marathon runner with a poorly functioning liver might exhibit:</t>
  </si>
  <si>
    <t>increased lactate, decreased pyruvate.</t>
  </si>
  <si>
    <t>increased lactate, increased pyruvate.</t>
  </si>
  <si>
    <t>decreased lactate, increased pyruvate.</t>
  </si>
  <si>
    <t>decreased lactate, decreased pyruvate.</t>
  </si>
  <si>
    <t>Inhibition of phosphofructokinase, a regulatory factor for glycolysis, causes:</t>
  </si>
  <si>
    <t>III only.</t>
  </si>
  <si>
    <t>The organ most affected by "the wall" is:</t>
  </si>
  <si>
    <t>the heart.</t>
  </si>
  <si>
    <t>the brain.</t>
  </si>
  <si>
    <t>the kidneys.</t>
  </si>
  <si>
    <t>Marathon runners can probably best prevent "the wall" by:</t>
  </si>
  <si>
    <t>loading up on carbohydrates.</t>
  </si>
  <si>
    <t>training with runs that exceed 20 miles.</t>
  </si>
  <si>
    <t>increasing lung capacity through training.</t>
  </si>
  <si>
    <t>all of the above.</t>
  </si>
  <si>
    <t>For many runners, marathons are broken in half—the first 20 miles equal the last 6. At approximately mile 20 marathoners hit "the wall", a sudden body alteration that cannot be overcome by willpower. Some fall, some stagger, some slowly walk it off. The best-trained marathon runners simply lessen their pace.</t>
  </si>
  <si>
    <t>According to the passage when aspartic acid is reacted with the methyl ester of phenylalanine protecting groups are necessary. Which of the following functional groups would require protecting groups during the reaction?</t>
  </si>
  <si>
    <t>The methyl ester of phenylalanine results from reacting L-phenylalanine with methanol. There is another product of this reaction which is not shown. This product is:</t>
  </si>
  <si>
    <t>H3O+</t>
  </si>
  <si>
    <t>OH</t>
  </si>
  <si>
    <t>HCHO</t>
  </si>
  <si>
    <t>Which of the following represents L-phenylalanine after treatment with acetic anhydride?</t>
  </si>
  <si>
    <t>Which of the following accurately represents the metabolism of methanol?</t>
  </si>
  <si>
    <t>HOCH3  HCHO  HCOOH  CO2 + H2O</t>
  </si>
  <si>
    <t>HOCH3  H2CHO  HCOOH  CO2 + H2O</t>
  </si>
  <si>
    <t>HOCH3  HCHO  H2CHCOOH  CO2 + H2O</t>
  </si>
  <si>
    <t>HOCH2  HCHO  HCOOH  CO2 +  H2O</t>
  </si>
  <si>
    <t>Which of the following is true regarding the extraction of L-phenylalanine?</t>
  </si>
  <si>
    <t>L-phenylalanine is found in the organic layer.</t>
  </si>
  <si>
    <t>L-phenylalanine is found in the aqueous layer.</t>
  </si>
  <si>
    <t>It would lead to a racemic mixture.</t>
  </si>
  <si>
    <t>Porcine Kidney Acylase is not necessary for the extraction.</t>
  </si>
  <si>
    <t>Which of the following is not a hydrolytic product of aspartame?</t>
  </si>
  <si>
    <t>Aspartylphenylalanine</t>
  </si>
  <si>
    <t>L-phenylalanine methylester</t>
  </si>
  <si>
    <t>DKP</t>
  </si>
  <si>
    <t>Which of the following is the structure for aspartyl phenylalanine diketopiperazine?</t>
  </si>
  <si>
    <t>L-aspartyl-L-phenylalanine methyl ester is a controversial artificial sweetener commercially known as aspartame. The standard for sweetness is sucrose, which has a sweetness value of 1.00. Aspartame has a value of 180 therefore only 1 gram of aspartame is needed to equal the sweetness of 2 teaspoons of sugar. Aspartame is a dipeptide composed of two amino acids, phenylalanine and aspartic acid, and methanol.</t>
  </si>
  <si>
    <t>An alternate approach to gene therapy is being investigated which involves repairing the gene product at the level of the mRNA. After an mRNA is transcribed, spliceosomes remove the introns and splice together the exons. A possible mechanism for gene therapy at the mRNA level would be:</t>
  </si>
  <si>
    <t>adding a new mRNA fragment to the cytoplasm to replace the mutated version.</t>
  </si>
  <si>
    <t>adding a new mRNA fragment to the nucleus to replace the mutated version.</t>
  </si>
  <si>
    <t>adding a new DNA fragment to the nucleus to replace the mutated version.</t>
  </si>
  <si>
    <t>disabling the spliceosome so that the mutated protein is not formed.</t>
  </si>
  <si>
    <t>When an optically active sample, depicted below, reacts with I- in an aprotic solvent, second order kinetics is observed. Which of the following statements must be true?</t>
  </si>
  <si>
    <t>The reactant has S stereochemistry while the product has R stereochemistry.</t>
  </si>
  <si>
    <t>The reactant has R stereochemistry while the product has S stereochemistry.</t>
  </si>
  <si>
    <t>Both reactant and product have the same R/S designation.</t>
  </si>
  <si>
    <t>The product is a racemic mixture of R and S enantiomers.</t>
  </si>
  <si>
    <t>Adipose tissue is a source of energy through the production of:</t>
  </si>
  <si>
    <t>I and IV</t>
  </si>
  <si>
    <t>Why does (E)-2-aminoethylenesulfonic acid, illustrated below, have an extremely high melting point relative to its molecular weight?</t>
  </si>
  <si>
    <t>the amino group of (E)-2-aminoethylenesulfonic acid acts as a Lewis acid.</t>
  </si>
  <si>
    <t>(E)-2-aminoethylenesulfonic acid exists as a pair of enantiomers.</t>
  </si>
  <si>
    <t>(E)-2-aminoethylenesulfonic acid exists as a pair of diastereomers.</t>
  </si>
  <si>
    <t>(E)-2-aminoethylenesulfonic acid exists as a zwitterion.</t>
  </si>
  <si>
    <t>The absorption of all amino acids from the duodenum will lead to:</t>
  </si>
  <si>
    <t>an increase in gastrin secretion to the stomach.</t>
  </si>
  <si>
    <t>an increase in the secretion of bile salts into the biliary system.</t>
  </si>
  <si>
    <t>a decrease in CCK secretion to the duodenum.</t>
  </si>
  <si>
    <t>malabsorption of carbohydrates.</t>
  </si>
  <si>
    <t>Which of the following will not result from the binding of CCK to the CCKB receptor?</t>
  </si>
  <si>
    <t>Modulation of hormones</t>
  </si>
  <si>
    <t>A feeling of satiety</t>
  </si>
  <si>
    <t>Breakdown of peptides</t>
  </si>
  <si>
    <t>Acute cholecystitis is caused by gallstones which block the flow of bile to the small intestine. It is characterized by episodes or attacks of sharp pain in the upper right quadrant of the abdomen. Which of the following would be most likely to lead to an acute cholecystitis attack?</t>
  </si>
  <si>
    <t>Ingestion of a high carbohydrate meal</t>
  </si>
  <si>
    <t>Ingestion of a fatty meal</t>
  </si>
  <si>
    <t>Inhibition of CCK release</t>
  </si>
  <si>
    <t>Inhibition of gastrin release</t>
  </si>
  <si>
    <t>Which of the following experimental results would be observed after injection of CCK directly into the brain ventricles of a lab animal?</t>
  </si>
  <si>
    <t>Inability to digest proteins and fats</t>
  </si>
  <si>
    <t>Excess stomach acid secretion</t>
  </si>
  <si>
    <t>Cessation of feeding</t>
  </si>
  <si>
    <t>Impaired carbohydrate digestion</t>
  </si>
  <si>
    <t>Hypergastrinemia results in abnormally high blood levels of gastrin. Which of the following would be a result of hypergastrinemia?</t>
  </si>
  <si>
    <t>Hypertrophy of the gastric mucosa</t>
  </si>
  <si>
    <t>Degradation of the gastric mucosa</t>
  </si>
  <si>
    <t>Inability to digest fats and proteins</t>
  </si>
  <si>
    <t>Low levels of pancreatic enzymes</t>
  </si>
  <si>
    <t>Cholecystokinin deficiencies can be caused by an autoimmune disorder which destroys the CCK-producing cells in the small intestine. A deficiency in CCK would lead to which of the following symptoms?</t>
  </si>
  <si>
    <t>Gastric ulcers</t>
  </si>
  <si>
    <t>Malnutrition</t>
  </si>
  <si>
    <t>Overactive acinar cells</t>
  </si>
  <si>
    <t>Mental anxiety</t>
  </si>
  <si>
    <t>The release of cholecystokinin (CCK) from the mucosal epithelial cells of the duodenum is mediated by the presence of partially digested fats and proteins in the lumen and ceases once absorption is complete. CCK is a linear peptide which has two major effects on the digestion of these fats and proteins: it facilitates the release of pancreatic digestive enzymes and it causes the contraction of the gall bladder, leading to the release of digestive enzymes and bile into the duodenum in proportion to the amount of protein and fat ingested. The release of cholecystokinin also decreases gastric motility and slows the emptying of food into the duodenum.</t>
  </si>
  <si>
    <t>A drug called leucovorin (folinic acid) is often given in conjunction with methotrexate in order to alleviate some of the drug's toxic side-effects, such as stomatitis, urticaria, alopecia, nausea and diarrhea. This procedure is known as "leucovorin rescue". Which of the following properties would best explain why leucovorin is a successful adjunct to methotrexate therapy?</t>
  </si>
  <si>
    <t>The inhibitory effects of methotrexate on the enzyme dihydrofolate reductase are reversed by the action of folinic acid.</t>
  </si>
  <si>
    <t>Leucovorin is more readily absorbed by normal cells then by neoplastic cells.</t>
  </si>
  <si>
    <t>Folinic acid acts as an analog to DHFR.</t>
  </si>
  <si>
    <t>Leucovorin irreversibly binds the cell membrane receptor methotrexate uses to enter cells.</t>
  </si>
  <si>
    <t>A researcher discovered two classes of bacterial mutants that were unable to grow on their own, but were able to grow on minimal medium with dTMP added. In addition, the scientist noticed that class I mutants were able to grow on medium supplemented with either THF or 5, 10-methylene-THF, whereas class II mutants could grow on 5, 10-methylene-THF medium, but not on THF medium. From the behavior of the mutants, the researcher could conclude that:</t>
  </si>
  <si>
    <t>Class I mutants have their mutations later in the nucleotide chain than do class II mutants and thus have more functional enzymes.</t>
  </si>
  <si>
    <t>Class I mutants have a nonfunctional serine hydroxymethyltransferase enzyme, and class II mutants have a nonfunctional thymidylate synthase enzyme.</t>
  </si>
  <si>
    <t>Class I mutants have a nonfunctional thymidylate synthase enzyme, and class II mutants have a nonfunctional DHFR enzyme.</t>
  </si>
  <si>
    <t>Class I mutants have a nonfunctional DHFR enzyme, and class II mutants have a nonfunctional serine hydroxymethyltransferase enzyme.</t>
  </si>
  <si>
    <t>Which of the following phases of the cell cycle does methotrexate achieve its maximal cytotoxic effect?</t>
  </si>
  <si>
    <t>III and IV</t>
  </si>
  <si>
    <t>Resistance to methotrexate is not an uncommon phenomenon in neoplastic cells. Which of the following mechanisms could explain methotrexate resistance in neoplastic cells?</t>
  </si>
  <si>
    <t>Methotrexate can be administered intrathecally—via injection into the fluid around the spinal cord by lumbar puncture—in order to treat lymphomas that have spread to the cerebrospinal fluid. If performed incorrectly, a physician could potentially damage the outflow of lumbar sympathetic fibers. Which of the following would most likely be seen in a patient that suffered significant damage to their sympathetic nervous system?</t>
  </si>
  <si>
    <t>Pupil dilation</t>
  </si>
  <si>
    <t>Decreased motility of the bowel</t>
  </si>
  <si>
    <t>Increased blood supply to skeletal muscles</t>
  </si>
  <si>
    <t>Decreased breathing rate</t>
  </si>
  <si>
    <t>Nucleotides are omnipresent constituents of life, actively participating in a plethora of biochemical reactions. Nearly all organisms can make purine and pyrimidine nucleotides via de novo biosynthetic pathways. Compared to quiescent cells, actively mitotic cells synthesize copious amounts of DNA and RNA per unit time. Consequently, the pathway for nucleotide biosynthesis has become an attractive target for the clinical control of rapidly dividing tissues such as malignant neoplastic cells and ectopic fetal cells.</t>
  </si>
  <si>
    <t>Which of the following is NOT true regarding the use of glycogen and the use of gluconeogenesis as a fuel for the body?</t>
  </si>
  <si>
    <t>They are each rapidly depleted as a source of fuel</t>
  </si>
  <si>
    <t>They each increase blood glucose levels</t>
  </si>
  <si>
    <t>The major stimulus for glycogen use is glucagons</t>
  </si>
  <si>
    <t>They are both functions of the liver</t>
  </si>
  <si>
    <t>The reduced need for gluconeogenesis in the presence of ketone body synthesis:</t>
  </si>
  <si>
    <t>increases the reliance on glycogen as a fuel source.</t>
  </si>
  <si>
    <t>decreases the loss of essential proteins.</t>
  </si>
  <si>
    <t>decreases the need for fatty acids.</t>
  </si>
  <si>
    <t>increases the need for glycerol.</t>
  </si>
  <si>
    <t>Which of the following would NOT be a cause of hyperglycemia, or too much glucose in the blood?</t>
  </si>
  <si>
    <t>Insulin secreting tumor</t>
  </si>
  <si>
    <t>Insulin deficiency</t>
  </si>
  <si>
    <t>Over stimulation of alpha cells</t>
  </si>
  <si>
    <t>Insulin resistant tissues</t>
  </si>
  <si>
    <t>During the early days of nutrient deprivation the brain uses glucose exclusively as a source of fuel. This leads to:</t>
  </si>
  <si>
    <t>decreased glucagon secretion.</t>
  </si>
  <si>
    <t>the rapid breakdown of muscles.</t>
  </si>
  <si>
    <t>rapid glycogen formation.</t>
  </si>
  <si>
    <t>increased ketone formation.</t>
  </si>
  <si>
    <t>In a state of chronic nutrient deprivation such as starvation the body enters a catabolic period in order to maintain adequate plasma levels of glucose and provide energy for all tissues. The body has three main stores of energy: fat, or triacylglycerol, which is the largest form, protein, although most proteins provide a necessary enzymatic function and cannot be used for fuel, and glycogen, which is the smallest reserve and the first to be tapped for use. Glucagon plays a major role in regulating blood glucose levels and is released from the alpha cells of the pancreatic islets usually several hours after a meal when blood glucose levels have declined or when amino acid levels are high.</t>
  </si>
  <si>
    <t>The importance of micelles is that they:</t>
  </si>
  <si>
    <t>allow for easy transport of fats across the sodium dependent co-transport.</t>
  </si>
  <si>
    <t>have a hydrophobic core and hydrophilic exterior to assist the absorption of fat.</t>
  </si>
  <si>
    <t>breakdown protein and move it through the sodium dependent co-transport.</t>
  </si>
  <si>
    <t>have a hydrophilic core and hydrophobic exterior to digest fats.</t>
  </si>
  <si>
    <t>Which of the following is not true regarding the relationship of insulin and glucagon?</t>
  </si>
  <si>
    <t>They are secreted by the pancreas</t>
  </si>
  <si>
    <t>They are secreted in response to high blood glucose</t>
  </si>
  <si>
    <t>They work to regulate blood glucose levels</t>
  </si>
  <si>
    <t>They are secreted in response to amino acids in the blood</t>
  </si>
  <si>
    <t>Hemophilia A is an X-linked recessive condition where the blood cannot clot properly. If a woman who is a carrier for Hemophilia A marries a man who does not have the disease, what is the probability their first daughter will be a carrier of the disease?</t>
  </si>
  <si>
    <t>Which of the following is true regarding the phenotype of X-linked recessive traits in females?</t>
  </si>
  <si>
    <t>It is the same as the female phenotype for autosomal dominant disorders.</t>
  </si>
  <si>
    <t>It is the same as the female phenotype for autosomal recessive disorders.</t>
  </si>
  <si>
    <t>It is the same as the female phenotype for X-linked dominant disorders.</t>
  </si>
  <si>
    <t>It is the same as the male phenotype for X-linked recessive disorders.</t>
  </si>
  <si>
    <t>Which of the following is not a characteristic of bile?</t>
  </si>
  <si>
    <t>It is produced in the liver.</t>
  </si>
  <si>
    <t>It is composed of cholesterol and hormones.</t>
  </si>
  <si>
    <t>It contains a water soluble region and a fat soluble region.</t>
  </si>
  <si>
    <t>It works to emulsify fats in the duodenum.</t>
  </si>
  <si>
    <t>The MCAT Full-Length Test you will complete next is similar in content and format to what you will see on Test Day.</t>
  </si>
  <si>
    <t>Verbal Reasoning - 40 questions, 60 minutes</t>
  </si>
  <si>
    <t>To move on to the next section, or if you want to skip around in a section click the Review button at the bottom of the test screen to move to Item Review page. You will also be taken to Item Review at the end of each section. From there, you can click End to move to the Next Section or to submit your test from Item Review for the last section. Note: you cannot return to a section once you exit it.</t>
  </si>
  <si>
    <t>The scaled scores you receive for the Physical Sciences, Biological Sciences, Verbal Reasoning tests and your overall score should be a good general indicator of your MCAT competency in those areas, but should not be taken as definitive.</t>
  </si>
  <si>
    <t>MCAT Full Length 10 - Break</t>
  </si>
  <si>
    <t>hds020530.01</t>
  </si>
  <si>
    <t>hds020530.02</t>
  </si>
  <si>
    <t>hds020530.03</t>
  </si>
  <si>
    <t>hds020530.04</t>
  </si>
  <si>
    <t>hds020530.05</t>
  </si>
  <si>
    <t>hds020532.01</t>
  </si>
  <si>
    <t>hds020532.02</t>
  </si>
  <si>
    <t>hds020532.03</t>
  </si>
  <si>
    <t>hds020532.04</t>
  </si>
  <si>
    <t>hds020532.05</t>
  </si>
  <si>
    <t>hds020532.06</t>
  </si>
  <si>
    <t>h006005.01</t>
  </si>
  <si>
    <t>h006005.02</t>
  </si>
  <si>
    <t>h006005.03</t>
  </si>
  <si>
    <t>h006005.04</t>
  </si>
  <si>
    <t>h020533.01</t>
  </si>
  <si>
    <t>h020533.02</t>
  </si>
  <si>
    <t>h020533.03</t>
  </si>
  <si>
    <t>h020533.04</t>
  </si>
  <si>
    <t>h020533.05</t>
  </si>
  <si>
    <t>hds020534.01</t>
  </si>
  <si>
    <t>hds020534.02</t>
  </si>
  <si>
    <t>hds020534.03</t>
  </si>
  <si>
    <t>hds020534.04</t>
  </si>
  <si>
    <t>hds020534.05</t>
  </si>
  <si>
    <t>hds004453.01</t>
  </si>
  <si>
    <t>hds004453.02</t>
  </si>
  <si>
    <t>hds004453.03</t>
  </si>
  <si>
    <t>hds004453.04</t>
  </si>
  <si>
    <t>h020536.01</t>
  </si>
  <si>
    <t>h020536.02</t>
  </si>
  <si>
    <t>h020536.03</t>
  </si>
  <si>
    <t>h020536.04</t>
  </si>
  <si>
    <t>h020536.05</t>
  </si>
  <si>
    <t>h020536.06</t>
  </si>
  <si>
    <t>h020536.07</t>
  </si>
  <si>
    <t>h020537.01</t>
  </si>
  <si>
    <t>h020537.02</t>
  </si>
  <si>
    <t>h020537.03</t>
  </si>
  <si>
    <t>h020537.04</t>
  </si>
  <si>
    <t>h020539.01</t>
  </si>
  <si>
    <t>h020539.02</t>
  </si>
  <si>
    <t>h020539.03</t>
  </si>
  <si>
    <t>h020539.04</t>
  </si>
  <si>
    <t>h020539.05</t>
  </si>
  <si>
    <t>h020539.06</t>
  </si>
  <si>
    <t>h020539.07</t>
  </si>
  <si>
    <t>h004475ds.01</t>
  </si>
  <si>
    <t>h004475ds.02</t>
  </si>
  <si>
    <t>h004475ds.03</t>
  </si>
  <si>
    <t>h004475ds.04</t>
  </si>
  <si>
    <t>h004475ds.05</t>
  </si>
  <si>
    <t>h020540.01</t>
  </si>
  <si>
    <t>h020540.02</t>
  </si>
  <si>
    <t>h020540.03</t>
  </si>
  <si>
    <t>h020540.04</t>
  </si>
  <si>
    <t>h020540.05</t>
  </si>
  <si>
    <t>h020541.01</t>
  </si>
  <si>
    <t>h020541.02</t>
  </si>
  <si>
    <t>h020541.03</t>
  </si>
  <si>
    <t>h020541.04</t>
  </si>
  <si>
    <t>h020541.05</t>
  </si>
  <si>
    <t>h020541.06</t>
  </si>
  <si>
    <t>h020541.07</t>
  </si>
  <si>
    <t>hds020300.01</t>
  </si>
  <si>
    <t>hds020300.02</t>
  </si>
  <si>
    <t>hds020300.03</t>
  </si>
  <si>
    <t>hds020300.04</t>
  </si>
  <si>
    <t>hds020300.05</t>
  </si>
  <si>
    <t>hds020543.01</t>
  </si>
  <si>
    <t>hds020543.02</t>
  </si>
  <si>
    <t>hds020543.03</t>
  </si>
  <si>
    <t>hds020543.04</t>
  </si>
  <si>
    <t>hds020543.05</t>
  </si>
  <si>
    <t>hds020543.06</t>
  </si>
  <si>
    <t>h020545.01</t>
  </si>
  <si>
    <t>h020545.02</t>
  </si>
  <si>
    <t>h020545.03</t>
  </si>
  <si>
    <t>h020545.04</t>
  </si>
  <si>
    <t>h020545.05</t>
  </si>
  <si>
    <t>h020545.06</t>
  </si>
  <si>
    <t>hds020546.01</t>
  </si>
  <si>
    <t>hds020546.02</t>
  </si>
  <si>
    <t>hds020546.03</t>
  </si>
  <si>
    <t>hds020546.04</t>
  </si>
  <si>
    <t>hds020546.05</t>
  </si>
  <si>
    <t>hds020546.06</t>
  </si>
  <si>
    <t>hds020548.01</t>
  </si>
  <si>
    <t>hds020548.02</t>
  </si>
  <si>
    <t>hds020548.03</t>
  </si>
  <si>
    <t>hds020548.04</t>
  </si>
  <si>
    <t>hds020548.05</t>
  </si>
  <si>
    <t>h020550.01</t>
  </si>
  <si>
    <t>h020550.02</t>
  </si>
  <si>
    <t>h020550.03</t>
  </si>
  <si>
    <t>h020550.04</t>
  </si>
  <si>
    <t>h020550.05</t>
  </si>
  <si>
    <t>h020550.06</t>
  </si>
  <si>
    <t>h020550.07</t>
  </si>
  <si>
    <t>h020551.01</t>
  </si>
  <si>
    <t>h020551.02</t>
  </si>
  <si>
    <t>h020551.03</t>
  </si>
  <si>
    <t>h020551.04</t>
  </si>
  <si>
    <t>h020551.05</t>
  </si>
  <si>
    <t>h006011.01</t>
  </si>
  <si>
    <t>h006011.02</t>
  </si>
  <si>
    <t>h006011.03</t>
  </si>
  <si>
    <t>h006011.04</t>
  </si>
  <si>
    <t>hds020552.01</t>
  </si>
  <si>
    <t>hds020552.02</t>
  </si>
  <si>
    <t>hds020552.03</t>
  </si>
  <si>
    <t>hds020552.04</t>
  </si>
  <si>
    <t>hds020552.05</t>
  </si>
  <si>
    <t>h020553.01</t>
  </si>
  <si>
    <t>h020553.02</t>
  </si>
  <si>
    <t>h020553.03</t>
  </si>
  <si>
    <t>h020553.04</t>
  </si>
  <si>
    <t>h020553.05</t>
  </si>
  <si>
    <t>h020553.06</t>
  </si>
  <si>
    <t>h020553.07</t>
  </si>
  <si>
    <t>hds004588.01</t>
  </si>
  <si>
    <t>hds004588.02</t>
  </si>
  <si>
    <t>hds004588.03</t>
  </si>
  <si>
    <t>hds004588.04</t>
  </si>
  <si>
    <t>h020554.01</t>
  </si>
  <si>
    <t>h020554.02</t>
  </si>
  <si>
    <t>h020554.03</t>
  </si>
  <si>
    <t>h020554.04</t>
  </si>
  <si>
    <t>h020554.05</t>
  </si>
  <si>
    <t>h020554.06</t>
  </si>
  <si>
    <t>hds020556.01</t>
  </si>
  <si>
    <t>hds020556.02</t>
  </si>
  <si>
    <t>hds020556.03</t>
  </si>
  <si>
    <t>hds020556.04</t>
  </si>
  <si>
    <t>hds020556.05</t>
  </si>
  <si>
    <t>hds020557.01</t>
  </si>
  <si>
    <t>hds020557.02</t>
  </si>
  <si>
    <t>hds020557.03</t>
  </si>
  <si>
    <t>hds020557.04</t>
  </si>
  <si>
    <t>h004593ds.01</t>
  </si>
  <si>
    <t>h004593ds.02</t>
  </si>
  <si>
    <t>h004593ds.03</t>
  </si>
  <si>
    <t>h004593ds.04</t>
  </si>
  <si>
    <t>h004593ds.05</t>
  </si>
  <si>
    <t>17th</t>
  </si>
  <si>
    <t>8th</t>
  </si>
  <si>
    <t>0th</t>
  </si>
  <si>
    <t>2nd</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</si>
</sst>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sz val="12"/>
      <color theme="1"/>
      <name val="Calibri"/>
      <family val="2"/>
      <scheme val="minor"/>
    </font>
    <font>
      <sz val="8"/>
      <color theme="1"/>
      <name val="Arial"/>
      <family val="2"/>
    </font>
    <font>
      <b/>
      <sz val="8"/>
      <color theme="1"/>
      <name val="Arial"/>
      <family val="2"/>
    </font>
    <font>
      <sz val="8"/>
      <name val="Arial"/>
      <family val="2"/>
    </font>
  </fonts>
  <fills count="7">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3" tint="0.79998168889431442"/>
        <bgColor indexed="64"/>
      </patternFill>
    </fill>
  </fills>
  <borders count="1">
    <border>
      <left/>
      <right/>
      <top/>
      <bottom/>
      <diagonal/>
    </border>
  </borders>
  <cellStyleXfs count="2">
    <xf numFmtId="0" fontId="0" fillId="0" borderId="0"/>
    <xf numFmtId="0" fontId="1" fillId="0" borderId="0"/>
  </cellStyleXfs>
  <cellXfs count="18">
    <xf numFmtId="0" fontId="0" fillId="0" borderId="0" xfId="0"/>
    <xf numFmtId="0" fontId="2" fillId="0" borderId="0" xfId="0" applyFont="1" applyAlignment="1">
      <alignment wrapText="1"/>
    </xf>
    <xf numFmtId="0" fontId="2" fillId="0" borderId="0" xfId="0" applyFont="1"/>
    <xf numFmtId="1" fontId="2" fillId="0" borderId="0" xfId="0" applyNumberFormat="1" applyFont="1"/>
    <xf numFmtId="0" fontId="2" fillId="0" borderId="0" xfId="0" applyNumberFormat="1" applyFont="1"/>
    <xf numFmtId="0" fontId="2" fillId="3" borderId="0" xfId="0" applyFont="1" applyFill="1"/>
    <xf numFmtId="1" fontId="2" fillId="3" borderId="0" xfId="0" applyNumberFormat="1" applyFont="1" applyFill="1"/>
    <xf numFmtId="0" fontId="2" fillId="3" borderId="0" xfId="0" applyNumberFormat="1" applyFont="1" applyFill="1"/>
    <xf numFmtId="0" fontId="2" fillId="4" borderId="0" xfId="0" applyNumberFormat="1" applyFont="1" applyFill="1"/>
    <xf numFmtId="0" fontId="2" fillId="0" borderId="0" xfId="1" applyFont="1" applyAlignment="1">
      <alignment wrapText="1"/>
    </xf>
    <xf numFmtId="0" fontId="3" fillId="5" borderId="0" xfId="1" applyNumberFormat="1" applyFont="1" applyFill="1" applyAlignment="1">
      <alignment wrapText="1"/>
    </xf>
    <xf numFmtId="0" fontId="3" fillId="2" borderId="0" xfId="0" applyFont="1" applyFill="1"/>
    <xf numFmtId="0" fontId="3" fillId="2" borderId="0" xfId="0" applyNumberFormat="1" applyFont="1" applyFill="1"/>
    <xf numFmtId="0" fontId="3" fillId="0" borderId="0" xfId="0" applyFont="1"/>
    <xf numFmtId="0" fontId="3" fillId="5" borderId="0" xfId="0" applyFont="1" applyFill="1" applyAlignment="1">
      <alignment wrapText="1"/>
    </xf>
    <xf numFmtId="0" fontId="0" fillId="5" borderId="0" xfId="0" applyFill="1"/>
    <xf numFmtId="0" fontId="3" fillId="6" borderId="0" xfId="0" applyFont="1" applyFill="1"/>
    <xf numFmtId="0" fontId="4" fillId="0" borderId="0" xfId="0" applyFont="1"/>
  </cellXfs>
  <cellStyles count="2">
    <cellStyle name="Normal" xfId="0" builtinId="0"/>
    <cellStyle name="Normal 2" xfId="1"/>
  </cellStyles>
  <dxfs count="0"/>
  <tableStyles count="0" defaultTableStyle="TableStyleMedium2" defaultPivotStyle="PivotStyleLight16"/>
  <colors>
    <mruColors>
      <color rgb="FFFFFF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145"/>
  <sheetViews>
    <sheetView workbookViewId="0">
      <selection activeCell="D15" sqref="D15"/>
    </sheetView>
  </sheetViews>
  <sheetFormatPr defaultRowHeight="11.25" x14ac:dyDescent="0.2"/>
  <cols>
    <col min="1" max="1" width="9.140625" style="2" customWidth="1" collapsed="1"/>
    <col min="2" max="2" width="16.28515625" style="2" customWidth="1" collapsed="1"/>
    <col min="3" max="3" width="9.7109375" style="2" customWidth="1" collapsed="1"/>
    <col min="4" max="4" width="23.7109375" style="2" bestFit="1" customWidth="1" collapsed="1"/>
    <col min="5" max="5" width="5.140625" style="2" customWidth="1" collapsed="1"/>
    <col min="6" max="6" width="10" style="3" customWidth="1" collapsed="1"/>
    <col min="7" max="7" width="7.7109375" style="2" customWidth="1" collapsed="1"/>
    <col min="8" max="8" width="7.140625" style="8" customWidth="1" collapsed="1"/>
    <col min="9" max="9" width="5.42578125" style="8" customWidth="1" collapsed="1"/>
    <col min="10" max="10" width="8.7109375" style="2" bestFit="1" customWidth="1" collapsed="1"/>
    <col min="11" max="11" width="12.42578125" style="2" customWidth="1" collapsed="1"/>
    <col min="12" max="12" width="28.7109375" style="2" bestFit="1" customWidth="1" collapsed="1"/>
    <col min="13" max="21" width="9.140625" style="2"/>
    <col min="22" max="22" width="9.140625" style="2" collapsed="1"/>
    <col min="23" max="24" width="9.140625" style="2"/>
    <col min="25" max="16384" width="9.140625" style="2" collapsed="1"/>
  </cols>
  <sheetData>
    <row r="1" spans="1:12" s="5" customFormat="1" x14ac:dyDescent="0.2">
      <c r="A1" s="5" t="s">
        <v>2</v>
      </c>
      <c r="B1" s="5" t="s">
        <v>63</v>
      </c>
      <c r="C1" s="5" t="s">
        <v>16</v>
      </c>
      <c r="D1" s="5" t="s">
        <v>65</v>
      </c>
      <c r="E1" s="5" t="s">
        <v>17</v>
      </c>
      <c r="F1" s="6" t="s">
        <v>15</v>
      </c>
      <c r="G1" s="5" t="s">
        <v>64</v>
      </c>
      <c r="H1" s="5" t="s">
        <v>14</v>
      </c>
      <c r="I1" s="5" t="s">
        <v>86</v>
      </c>
      <c r="J1" s="7" t="s">
        <v>13</v>
      </c>
      <c r="K1" s="7" t="s">
        <v>60</v>
      </c>
      <c r="L1" s="7" t="s">
        <v>28</v>
      </c>
    </row>
    <row r="2" spans="1:12" x14ac:dyDescent="0.2">
      <c r="A2" s="2" t="s">
        <v>3</v>
      </c>
      <c r="B2" s="2" t="s">
        <v>161</v>
      </c>
      <c r="C2" s="2" t="s">
        <v>7</v>
      </c>
      <c r="D2" s="2" t="s">
        <v>861</v>
      </c>
      <c r="E2" s="2">
        <v>1</v>
      </c>
      <c r="F2" s="3">
        <v>1</v>
      </c>
      <c r="G2" s="2">
        <v>1</v>
      </c>
      <c r="H2" s="8">
        <v>1</v>
      </c>
      <c r="J2" s="4">
        <v>1</v>
      </c>
      <c r="K2" s="2" t="str">
        <f t="shared" ref="K2:K78" si="0">IF(H2=J2,"resp-correct","resp-inc")</f>
        <v>resp-correct</v>
      </c>
      <c r="L2" s="4" t="s">
        <v>36</v>
      </c>
    </row>
    <row r="3" spans="1:12" x14ac:dyDescent="0.2">
      <c r="A3" s="2" t="s">
        <v>3</v>
      </c>
      <c r="B3" s="2" t="s">
        <v>161</v>
      </c>
      <c r="C3" s="2" t="s">
        <v>7</v>
      </c>
      <c r="D3" s="2" t="s">
        <v>862</v>
      </c>
      <c r="E3" s="2">
        <v>1</v>
      </c>
      <c r="F3" s="3">
        <v>2</v>
      </c>
      <c r="G3" s="2">
        <v>2</v>
      </c>
      <c r="H3" s="8">
        <v>2</v>
      </c>
      <c r="J3" s="4">
        <v>3</v>
      </c>
      <c r="K3" s="2" t="str">
        <f t="shared" si="0"/>
        <v>resp-inc</v>
      </c>
      <c r="L3" s="4" t="s">
        <v>36</v>
      </c>
    </row>
    <row r="4" spans="1:12" x14ac:dyDescent="0.2">
      <c r="A4" s="2" t="s">
        <v>3</v>
      </c>
      <c r="B4" s="2" t="s">
        <v>161</v>
      </c>
      <c r="C4" s="2" t="s">
        <v>7</v>
      </c>
      <c r="D4" s="2" t="s">
        <v>863</v>
      </c>
      <c r="E4" s="2">
        <v>1</v>
      </c>
      <c r="F4" s="3">
        <v>3</v>
      </c>
      <c r="G4" s="2">
        <v>3</v>
      </c>
      <c r="H4" s="8">
        <v>1</v>
      </c>
      <c r="J4" s="4">
        <v>3</v>
      </c>
      <c r="K4" s="2" t="str">
        <f t="shared" si="0"/>
        <v>resp-inc</v>
      </c>
      <c r="L4" s="4" t="s">
        <v>36</v>
      </c>
    </row>
    <row r="5" spans="1:12" x14ac:dyDescent="0.2">
      <c r="A5" s="2" t="s">
        <v>3</v>
      </c>
      <c r="B5" s="2" t="s">
        <v>161</v>
      </c>
      <c r="C5" s="2" t="s">
        <v>7</v>
      </c>
      <c r="D5" s="2" t="s">
        <v>864</v>
      </c>
      <c r="E5" s="2">
        <v>1</v>
      </c>
      <c r="F5" s="3">
        <v>4</v>
      </c>
      <c r="G5" s="2">
        <v>4</v>
      </c>
      <c r="H5" s="8">
        <v>1</v>
      </c>
      <c r="J5" s="4">
        <v>2</v>
      </c>
      <c r="K5" s="2" t="str">
        <f t="shared" si="0"/>
        <v>resp-inc</v>
      </c>
      <c r="L5" s="4" t="s">
        <v>36</v>
      </c>
    </row>
    <row r="6" spans="1:12" x14ac:dyDescent="0.2">
      <c r="A6" s="2" t="s">
        <v>3</v>
      </c>
      <c r="B6" s="2" t="s">
        <v>161</v>
      </c>
      <c r="C6" s="2" t="s">
        <v>7</v>
      </c>
      <c r="D6" s="2" t="s">
        <v>865</v>
      </c>
      <c r="E6" s="2">
        <v>1</v>
      </c>
      <c r="F6" s="3">
        <v>5</v>
      </c>
      <c r="G6" s="2">
        <v>5</v>
      </c>
      <c r="H6" s="8">
        <v>2</v>
      </c>
      <c r="J6" s="4">
        <v>1</v>
      </c>
      <c r="K6" s="2" t="str">
        <f t="shared" si="0"/>
        <v>resp-inc</v>
      </c>
      <c r="L6" s="4" t="s">
        <v>36</v>
      </c>
    </row>
    <row r="7" spans="1:12" x14ac:dyDescent="0.2">
      <c r="A7" s="2" t="s">
        <v>3</v>
      </c>
      <c r="B7" s="2" t="s">
        <v>161</v>
      </c>
      <c r="C7" s="2" t="s">
        <v>8</v>
      </c>
      <c r="D7" s="2" t="s">
        <v>866</v>
      </c>
      <c r="E7" s="2">
        <v>2</v>
      </c>
      <c r="F7" s="3">
        <v>1</v>
      </c>
      <c r="G7" s="2">
        <v>6</v>
      </c>
      <c r="H7" s="8">
        <v>2</v>
      </c>
      <c r="J7" s="4">
        <v>2</v>
      </c>
      <c r="K7" s="2" t="str">
        <f t="shared" si="0"/>
        <v>resp-correct</v>
      </c>
      <c r="L7" s="4" t="s">
        <v>62</v>
      </c>
    </row>
    <row r="8" spans="1:12" x14ac:dyDescent="0.2">
      <c r="A8" s="2" t="s">
        <v>3</v>
      </c>
      <c r="B8" s="2" t="s">
        <v>161</v>
      </c>
      <c r="C8" s="2" t="s">
        <v>8</v>
      </c>
      <c r="D8" s="2" t="s">
        <v>867</v>
      </c>
      <c r="E8" s="2">
        <v>2</v>
      </c>
      <c r="F8" s="3">
        <v>2</v>
      </c>
      <c r="G8" s="2">
        <v>7</v>
      </c>
      <c r="H8" s="8">
        <v>2</v>
      </c>
      <c r="J8" s="4">
        <v>4</v>
      </c>
      <c r="K8" s="2" t="str">
        <f t="shared" si="0"/>
        <v>resp-inc</v>
      </c>
      <c r="L8" s="4" t="s">
        <v>62</v>
      </c>
    </row>
    <row r="9" spans="1:12" x14ac:dyDescent="0.2">
      <c r="A9" s="2" t="s">
        <v>3</v>
      </c>
      <c r="B9" s="2" t="s">
        <v>161</v>
      </c>
      <c r="C9" s="2" t="s">
        <v>8</v>
      </c>
      <c r="D9" s="2" t="s">
        <v>868</v>
      </c>
      <c r="E9" s="2">
        <v>2</v>
      </c>
      <c r="F9" s="3">
        <v>3</v>
      </c>
      <c r="G9" s="2">
        <v>8</v>
      </c>
      <c r="H9" s="8">
        <v>2</v>
      </c>
      <c r="J9" s="4">
        <v>3</v>
      </c>
      <c r="K9" s="2" t="str">
        <f t="shared" si="0"/>
        <v>resp-inc</v>
      </c>
      <c r="L9" s="2" t="s">
        <v>62</v>
      </c>
    </row>
    <row r="10" spans="1:12" x14ac:dyDescent="0.2">
      <c r="A10" s="2" t="s">
        <v>3</v>
      </c>
      <c r="B10" s="2" t="s">
        <v>161</v>
      </c>
      <c r="C10" s="2" t="s">
        <v>8</v>
      </c>
      <c r="D10" s="2" t="s">
        <v>869</v>
      </c>
      <c r="E10" s="2">
        <v>2</v>
      </c>
      <c r="F10" s="3">
        <v>4</v>
      </c>
      <c r="G10" s="2">
        <v>9</v>
      </c>
      <c r="H10" s="8">
        <v>2</v>
      </c>
      <c r="J10" s="4">
        <v>2</v>
      </c>
      <c r="K10" s="2" t="str">
        <f t="shared" si="0"/>
        <v>resp-correct</v>
      </c>
      <c r="L10" s="2" t="s">
        <v>62</v>
      </c>
    </row>
    <row r="11" spans="1:12" x14ac:dyDescent="0.2">
      <c r="A11" s="2" t="s">
        <v>3</v>
      </c>
      <c r="B11" s="2" t="s">
        <v>161</v>
      </c>
      <c r="C11" s="2" t="s">
        <v>8</v>
      </c>
      <c r="D11" s="2" t="s">
        <v>870</v>
      </c>
      <c r="E11" s="2">
        <v>2</v>
      </c>
      <c r="F11" s="3">
        <v>5</v>
      </c>
      <c r="G11" s="2">
        <v>10</v>
      </c>
      <c r="H11" s="8">
        <v>2</v>
      </c>
      <c r="J11" s="4">
        <v>2</v>
      </c>
      <c r="K11" s="2" t="str">
        <f t="shared" si="0"/>
        <v>resp-correct</v>
      </c>
      <c r="L11" s="2" t="s">
        <v>62</v>
      </c>
    </row>
    <row r="12" spans="1:12" x14ac:dyDescent="0.2">
      <c r="A12" s="2" t="s">
        <v>3</v>
      </c>
      <c r="B12" s="2" t="s">
        <v>161</v>
      </c>
      <c r="C12" s="2" t="s">
        <v>8</v>
      </c>
      <c r="D12" s="2" t="s">
        <v>871</v>
      </c>
      <c r="E12" s="2">
        <v>2</v>
      </c>
      <c r="F12" s="3">
        <v>6</v>
      </c>
      <c r="G12" s="2">
        <v>11</v>
      </c>
      <c r="H12" s="8">
        <v>3</v>
      </c>
      <c r="J12" s="4">
        <v>3</v>
      </c>
      <c r="K12" s="2" t="str">
        <f t="shared" si="0"/>
        <v>resp-correct</v>
      </c>
      <c r="L12" s="4" t="s">
        <v>62</v>
      </c>
    </row>
    <row r="13" spans="1:12" x14ac:dyDescent="0.2">
      <c r="A13" s="2" t="s">
        <v>3</v>
      </c>
      <c r="B13" s="2" t="s">
        <v>161</v>
      </c>
      <c r="C13" s="2" t="s">
        <v>6</v>
      </c>
      <c r="D13" s="2" t="s">
        <v>872</v>
      </c>
      <c r="E13" s="2">
        <v>3</v>
      </c>
      <c r="F13" s="3">
        <v>1</v>
      </c>
      <c r="G13" s="2">
        <v>12</v>
      </c>
      <c r="H13" s="8">
        <v>3</v>
      </c>
      <c r="J13" s="4">
        <v>4</v>
      </c>
      <c r="K13" s="2" t="str">
        <f t="shared" si="0"/>
        <v>resp-inc</v>
      </c>
      <c r="L13" s="4" t="s">
        <v>135</v>
      </c>
    </row>
    <row r="14" spans="1:12" x14ac:dyDescent="0.2">
      <c r="A14" s="2" t="s">
        <v>3</v>
      </c>
      <c r="B14" s="2" t="s">
        <v>161</v>
      </c>
      <c r="C14" s="2" t="s">
        <v>6</v>
      </c>
      <c r="D14" s="2" t="s">
        <v>873</v>
      </c>
      <c r="E14" s="2">
        <v>3</v>
      </c>
      <c r="F14" s="3">
        <v>2</v>
      </c>
      <c r="G14" s="2">
        <v>13</v>
      </c>
      <c r="H14" s="8">
        <v>3</v>
      </c>
      <c r="J14" s="4">
        <v>4</v>
      </c>
      <c r="K14" s="2" t="str">
        <f t="shared" si="0"/>
        <v>resp-inc</v>
      </c>
      <c r="L14" s="2" t="s">
        <v>135</v>
      </c>
    </row>
    <row r="15" spans="1:12" x14ac:dyDescent="0.2">
      <c r="A15" s="2" t="s">
        <v>3</v>
      </c>
      <c r="B15" s="2" t="s">
        <v>161</v>
      </c>
      <c r="C15" s="2" t="s">
        <v>6</v>
      </c>
      <c r="D15" s="2" t="s">
        <v>874</v>
      </c>
      <c r="E15" s="2">
        <v>3</v>
      </c>
      <c r="F15" s="3">
        <v>3</v>
      </c>
      <c r="G15" s="2">
        <v>14</v>
      </c>
      <c r="H15" s="8">
        <v>3</v>
      </c>
      <c r="J15" s="4">
        <v>4</v>
      </c>
      <c r="K15" s="2" t="str">
        <f t="shared" si="0"/>
        <v>resp-inc</v>
      </c>
      <c r="L15" s="2" t="s">
        <v>135</v>
      </c>
    </row>
    <row r="16" spans="1:12" x14ac:dyDescent="0.2">
      <c r="A16" s="2" t="s">
        <v>3</v>
      </c>
      <c r="B16" s="2" t="s">
        <v>161</v>
      </c>
      <c r="C16" s="2" t="s">
        <v>6</v>
      </c>
      <c r="D16" s="2" t="s">
        <v>875</v>
      </c>
      <c r="E16" s="2">
        <v>3</v>
      </c>
      <c r="F16" s="3">
        <v>4</v>
      </c>
      <c r="G16" s="2">
        <v>15</v>
      </c>
      <c r="H16" s="8">
        <v>3</v>
      </c>
      <c r="J16" s="4">
        <v>3</v>
      </c>
      <c r="K16" s="2" t="str">
        <f t="shared" si="0"/>
        <v>resp-correct</v>
      </c>
      <c r="L16" s="4" t="s">
        <v>135</v>
      </c>
    </row>
    <row r="17" spans="1:12" x14ac:dyDescent="0.2">
      <c r="A17" s="2" t="s">
        <v>3</v>
      </c>
      <c r="B17" s="2" t="s">
        <v>161</v>
      </c>
      <c r="C17" s="2" t="s">
        <v>9</v>
      </c>
      <c r="D17" s="2" t="s">
        <v>876</v>
      </c>
      <c r="E17" s="2">
        <v>4</v>
      </c>
      <c r="F17" s="3">
        <v>1</v>
      </c>
      <c r="G17" s="2">
        <v>16</v>
      </c>
      <c r="H17" s="8">
        <v>3</v>
      </c>
      <c r="J17" s="4">
        <v>4</v>
      </c>
      <c r="K17" s="2" t="str">
        <f t="shared" si="0"/>
        <v>resp-inc</v>
      </c>
      <c r="L17" s="2" t="s">
        <v>33</v>
      </c>
    </row>
    <row r="18" spans="1:12" x14ac:dyDescent="0.2">
      <c r="A18" s="2" t="s">
        <v>3</v>
      </c>
      <c r="B18" s="2" t="s">
        <v>161</v>
      </c>
      <c r="C18" s="2" t="s">
        <v>9</v>
      </c>
      <c r="D18" s="2" t="s">
        <v>877</v>
      </c>
      <c r="E18" s="2">
        <v>4</v>
      </c>
      <c r="F18" s="3">
        <v>2</v>
      </c>
      <c r="G18" s="2">
        <v>17</v>
      </c>
      <c r="H18" s="8">
        <v>4</v>
      </c>
      <c r="J18" s="4">
        <v>1</v>
      </c>
      <c r="K18" s="2" t="str">
        <f t="shared" si="0"/>
        <v>resp-inc</v>
      </c>
      <c r="L18" s="2" t="s">
        <v>32</v>
      </c>
    </row>
    <row r="19" spans="1:12" x14ac:dyDescent="0.2">
      <c r="A19" s="2" t="s">
        <v>3</v>
      </c>
      <c r="B19" s="2" t="s">
        <v>161</v>
      </c>
      <c r="C19" s="2" t="s">
        <v>9</v>
      </c>
      <c r="D19" s="2" t="s">
        <v>878</v>
      </c>
      <c r="E19" s="2">
        <v>4</v>
      </c>
      <c r="F19" s="3">
        <v>3</v>
      </c>
      <c r="G19" s="2">
        <v>18</v>
      </c>
      <c r="H19" s="8">
        <v>4</v>
      </c>
      <c r="J19" s="4">
        <v>3</v>
      </c>
      <c r="K19" s="2" t="str">
        <f t="shared" si="0"/>
        <v>resp-inc</v>
      </c>
      <c r="L19" s="2" t="s">
        <v>33</v>
      </c>
    </row>
    <row r="20" spans="1:12" x14ac:dyDescent="0.2">
      <c r="A20" s="2" t="s">
        <v>3</v>
      </c>
      <c r="B20" s="2" t="s">
        <v>161</v>
      </c>
      <c r="C20" s="2" t="s">
        <v>9</v>
      </c>
      <c r="D20" s="2" t="s">
        <v>879</v>
      </c>
      <c r="E20" s="2">
        <v>4</v>
      </c>
      <c r="F20" s="3">
        <v>4</v>
      </c>
      <c r="G20" s="2">
        <v>19</v>
      </c>
      <c r="H20" s="8">
        <v>4</v>
      </c>
      <c r="J20" s="4">
        <v>1</v>
      </c>
      <c r="K20" s="2" t="str">
        <f t="shared" si="0"/>
        <v>resp-inc</v>
      </c>
      <c r="L20" s="2" t="s">
        <v>33</v>
      </c>
    </row>
    <row r="21" spans="1:12" x14ac:dyDescent="0.2">
      <c r="A21" s="2" t="s">
        <v>3</v>
      </c>
      <c r="B21" s="2" t="s">
        <v>161</v>
      </c>
      <c r="C21" s="2" t="s">
        <v>9</v>
      </c>
      <c r="D21" s="2" t="s">
        <v>880</v>
      </c>
      <c r="E21" s="2">
        <v>4</v>
      </c>
      <c r="F21" s="3">
        <v>5</v>
      </c>
      <c r="G21" s="2">
        <v>20</v>
      </c>
      <c r="H21" s="8">
        <v>4</v>
      </c>
      <c r="J21" s="4">
        <v>4</v>
      </c>
      <c r="K21" s="2" t="str">
        <f t="shared" si="0"/>
        <v>resp-correct</v>
      </c>
      <c r="L21" s="2" t="s">
        <v>33</v>
      </c>
    </row>
    <row r="22" spans="1:12" x14ac:dyDescent="0.2">
      <c r="A22" s="2" t="s">
        <v>3</v>
      </c>
      <c r="B22" s="2" t="s">
        <v>161</v>
      </c>
      <c r="C22" s="2" t="s">
        <v>10</v>
      </c>
      <c r="D22" s="2" t="s">
        <v>881</v>
      </c>
      <c r="E22" s="2">
        <v>5</v>
      </c>
      <c r="F22" s="3">
        <v>1</v>
      </c>
      <c r="G22" s="2">
        <v>21</v>
      </c>
      <c r="H22" s="8">
        <v>4</v>
      </c>
      <c r="J22" s="4">
        <v>2</v>
      </c>
      <c r="K22" s="2" t="str">
        <f t="shared" si="0"/>
        <v>resp-inc</v>
      </c>
      <c r="L22" s="2" t="s">
        <v>134</v>
      </c>
    </row>
    <row r="23" spans="1:12" x14ac:dyDescent="0.2">
      <c r="A23" s="2" t="s">
        <v>3</v>
      </c>
      <c r="B23" s="2" t="s">
        <v>161</v>
      </c>
      <c r="C23" s="2" t="s">
        <v>10</v>
      </c>
      <c r="D23" s="2" t="s">
        <v>882</v>
      </c>
      <c r="E23" s="2">
        <v>5</v>
      </c>
      <c r="F23" s="3">
        <v>2</v>
      </c>
      <c r="G23" s="2">
        <v>22</v>
      </c>
      <c r="H23" s="8">
        <v>1</v>
      </c>
      <c r="J23" s="4">
        <v>3</v>
      </c>
      <c r="K23" s="2" t="str">
        <f t="shared" si="0"/>
        <v>resp-inc</v>
      </c>
      <c r="L23" s="2" t="s">
        <v>35</v>
      </c>
    </row>
    <row r="24" spans="1:12" x14ac:dyDescent="0.2">
      <c r="A24" s="2" t="s">
        <v>3</v>
      </c>
      <c r="B24" s="2" t="s">
        <v>161</v>
      </c>
      <c r="C24" s="2" t="s">
        <v>10</v>
      </c>
      <c r="D24" s="2" t="s">
        <v>883</v>
      </c>
      <c r="E24" s="2">
        <v>5</v>
      </c>
      <c r="F24" s="3">
        <v>3</v>
      </c>
      <c r="G24" s="2">
        <v>23</v>
      </c>
      <c r="H24" s="8">
        <v>1</v>
      </c>
      <c r="J24" s="4">
        <v>1</v>
      </c>
      <c r="K24" s="2" t="str">
        <f t="shared" si="0"/>
        <v>resp-correct</v>
      </c>
      <c r="L24" s="2" t="s">
        <v>34</v>
      </c>
    </row>
    <row r="25" spans="1:12" x14ac:dyDescent="0.2">
      <c r="A25" s="2" t="s">
        <v>3</v>
      </c>
      <c r="B25" s="2" t="s">
        <v>161</v>
      </c>
      <c r="C25" s="2" t="s">
        <v>10</v>
      </c>
      <c r="D25" s="2" t="s">
        <v>884</v>
      </c>
      <c r="E25" s="2">
        <v>5</v>
      </c>
      <c r="F25" s="3">
        <v>4</v>
      </c>
      <c r="G25" s="2">
        <v>24</v>
      </c>
      <c r="H25" s="8">
        <v>1</v>
      </c>
      <c r="J25" s="4">
        <v>3</v>
      </c>
      <c r="K25" s="2" t="str">
        <f t="shared" si="0"/>
        <v>resp-inc</v>
      </c>
      <c r="L25" s="2" t="s">
        <v>34</v>
      </c>
    </row>
    <row r="26" spans="1:12" x14ac:dyDescent="0.2">
      <c r="A26" s="2" t="s">
        <v>3</v>
      </c>
      <c r="B26" s="2" t="s">
        <v>161</v>
      </c>
      <c r="C26" s="2" t="s">
        <v>10</v>
      </c>
      <c r="D26" s="2" t="s">
        <v>885</v>
      </c>
      <c r="E26" s="2">
        <v>5</v>
      </c>
      <c r="F26" s="3">
        <v>5</v>
      </c>
      <c r="G26" s="2">
        <v>25</v>
      </c>
      <c r="H26" s="8">
        <v>1</v>
      </c>
      <c r="J26" s="4">
        <v>3</v>
      </c>
      <c r="K26" s="2" t="str">
        <f t="shared" si="0"/>
        <v>resp-inc</v>
      </c>
      <c r="L26" s="2" t="s">
        <v>34</v>
      </c>
    </row>
    <row r="27" spans="1:12" x14ac:dyDescent="0.2">
      <c r="A27" s="2" t="s">
        <v>3</v>
      </c>
      <c r="B27" s="2" t="s">
        <v>161</v>
      </c>
      <c r="C27" s="2" t="s">
        <v>6</v>
      </c>
      <c r="D27" s="2" t="s">
        <v>886</v>
      </c>
      <c r="E27" s="2">
        <v>6</v>
      </c>
      <c r="F27" s="3">
        <v>1</v>
      </c>
      <c r="G27" s="2">
        <v>26</v>
      </c>
      <c r="H27" s="8">
        <v>2</v>
      </c>
      <c r="J27" s="4">
        <v>3</v>
      </c>
      <c r="K27" s="2" t="str">
        <f t="shared" si="0"/>
        <v>resp-inc</v>
      </c>
      <c r="L27" s="2" t="s">
        <v>139</v>
      </c>
    </row>
    <row r="28" spans="1:12" x14ac:dyDescent="0.2">
      <c r="A28" s="2" t="s">
        <v>3</v>
      </c>
      <c r="B28" s="2" t="s">
        <v>161</v>
      </c>
      <c r="C28" s="2" t="s">
        <v>6</v>
      </c>
      <c r="D28" s="2" t="s">
        <v>887</v>
      </c>
      <c r="E28" s="2">
        <v>6</v>
      </c>
      <c r="F28" s="3">
        <v>2</v>
      </c>
      <c r="G28" s="2">
        <v>27</v>
      </c>
      <c r="H28" s="8">
        <v>2</v>
      </c>
      <c r="J28" s="4">
        <v>3</v>
      </c>
      <c r="K28" s="2" t="str">
        <f t="shared" si="0"/>
        <v>resp-inc</v>
      </c>
      <c r="L28" s="2" t="s">
        <v>37</v>
      </c>
    </row>
    <row r="29" spans="1:12" x14ac:dyDescent="0.2">
      <c r="A29" s="2" t="s">
        <v>3</v>
      </c>
      <c r="B29" s="2" t="s">
        <v>161</v>
      </c>
      <c r="C29" s="2" t="s">
        <v>6</v>
      </c>
      <c r="D29" s="2" t="s">
        <v>888</v>
      </c>
      <c r="E29" s="2">
        <v>6</v>
      </c>
      <c r="F29" s="3">
        <v>3</v>
      </c>
      <c r="G29" s="2">
        <v>28</v>
      </c>
      <c r="H29" s="8">
        <v>2</v>
      </c>
      <c r="J29" s="4">
        <v>3</v>
      </c>
      <c r="K29" s="2" t="str">
        <f t="shared" si="0"/>
        <v>resp-inc</v>
      </c>
      <c r="L29" s="2" t="s">
        <v>31</v>
      </c>
    </row>
    <row r="30" spans="1:12" x14ac:dyDescent="0.2">
      <c r="A30" s="2" t="s">
        <v>3</v>
      </c>
      <c r="B30" s="2" t="s">
        <v>161</v>
      </c>
      <c r="C30" s="2" t="s">
        <v>6</v>
      </c>
      <c r="D30" s="2" t="s">
        <v>889</v>
      </c>
      <c r="E30" s="2">
        <v>6</v>
      </c>
      <c r="F30" s="3">
        <v>4</v>
      </c>
      <c r="G30" s="2">
        <v>29</v>
      </c>
      <c r="H30" s="8">
        <v>2</v>
      </c>
      <c r="J30" s="4">
        <v>4</v>
      </c>
      <c r="K30" s="2" t="str">
        <f t="shared" si="0"/>
        <v>resp-inc</v>
      </c>
      <c r="L30" s="2" t="s">
        <v>36</v>
      </c>
    </row>
    <row r="31" spans="1:12" x14ac:dyDescent="0.2">
      <c r="A31" s="2" t="s">
        <v>3</v>
      </c>
      <c r="B31" s="2" t="s">
        <v>161</v>
      </c>
      <c r="C31" s="2" t="s">
        <v>11</v>
      </c>
      <c r="D31" s="2" t="s">
        <v>890</v>
      </c>
      <c r="E31" s="2">
        <v>7</v>
      </c>
      <c r="F31" s="3">
        <v>1</v>
      </c>
      <c r="G31" s="2">
        <v>30</v>
      </c>
      <c r="H31" s="8">
        <v>2</v>
      </c>
      <c r="J31" s="4">
        <v>1</v>
      </c>
      <c r="K31" s="2" t="str">
        <f t="shared" si="0"/>
        <v>resp-inc</v>
      </c>
      <c r="L31" s="2" t="s">
        <v>36</v>
      </c>
    </row>
    <row r="32" spans="1:12" x14ac:dyDescent="0.2">
      <c r="A32" s="2" t="s">
        <v>3</v>
      </c>
      <c r="B32" s="2" t="s">
        <v>161</v>
      </c>
      <c r="C32" s="2" t="s">
        <v>11</v>
      </c>
      <c r="D32" s="2" t="s">
        <v>891</v>
      </c>
      <c r="E32" s="2">
        <v>7</v>
      </c>
      <c r="F32" s="3">
        <v>2</v>
      </c>
      <c r="G32" s="2">
        <v>31</v>
      </c>
      <c r="H32" s="8">
        <v>1</v>
      </c>
      <c r="J32" s="4">
        <v>1</v>
      </c>
      <c r="K32" s="2" t="str">
        <f t="shared" si="0"/>
        <v>resp-correct</v>
      </c>
      <c r="L32" s="2" t="s">
        <v>36</v>
      </c>
    </row>
    <row r="33" spans="1:12" x14ac:dyDescent="0.2">
      <c r="A33" s="2" t="s">
        <v>3</v>
      </c>
      <c r="B33" s="2" t="s">
        <v>161</v>
      </c>
      <c r="C33" s="2" t="s">
        <v>11</v>
      </c>
      <c r="D33" s="2" t="s">
        <v>892</v>
      </c>
      <c r="E33" s="2">
        <v>7</v>
      </c>
      <c r="F33" s="3">
        <v>3</v>
      </c>
      <c r="G33" s="2">
        <v>32</v>
      </c>
      <c r="H33" s="8">
        <v>2</v>
      </c>
      <c r="J33" s="4">
        <v>4</v>
      </c>
      <c r="K33" s="2" t="str">
        <f t="shared" si="0"/>
        <v>resp-inc</v>
      </c>
      <c r="L33" s="2" t="s">
        <v>30</v>
      </c>
    </row>
    <row r="34" spans="1:12" x14ac:dyDescent="0.2">
      <c r="A34" s="2" t="s">
        <v>3</v>
      </c>
      <c r="B34" s="2" t="s">
        <v>161</v>
      </c>
      <c r="C34" s="2" t="s">
        <v>11</v>
      </c>
      <c r="D34" s="2" t="s">
        <v>893</v>
      </c>
      <c r="E34" s="2">
        <v>7</v>
      </c>
      <c r="F34" s="3">
        <v>4</v>
      </c>
      <c r="G34" s="2">
        <v>33</v>
      </c>
      <c r="H34" s="8">
        <v>1</v>
      </c>
      <c r="J34" s="4">
        <v>3</v>
      </c>
      <c r="K34" s="2" t="str">
        <f t="shared" si="0"/>
        <v>resp-inc</v>
      </c>
      <c r="L34" s="2" t="s">
        <v>36</v>
      </c>
    </row>
    <row r="35" spans="1:12" x14ac:dyDescent="0.2">
      <c r="A35" s="2" t="s">
        <v>3</v>
      </c>
      <c r="B35" s="2" t="s">
        <v>161</v>
      </c>
      <c r="C35" s="2" t="s">
        <v>11</v>
      </c>
      <c r="D35" s="2" t="s">
        <v>894</v>
      </c>
      <c r="E35" s="2">
        <v>7</v>
      </c>
      <c r="F35" s="3">
        <v>5</v>
      </c>
      <c r="G35" s="2">
        <v>34</v>
      </c>
      <c r="H35" s="8">
        <v>1</v>
      </c>
      <c r="J35" s="4">
        <v>4</v>
      </c>
      <c r="K35" s="2" t="str">
        <f t="shared" si="0"/>
        <v>resp-inc</v>
      </c>
      <c r="L35" s="2" t="s">
        <v>36</v>
      </c>
    </row>
    <row r="36" spans="1:12" x14ac:dyDescent="0.2">
      <c r="A36" s="2" t="s">
        <v>3</v>
      </c>
      <c r="B36" s="2" t="s">
        <v>161</v>
      </c>
      <c r="C36" s="2" t="s">
        <v>11</v>
      </c>
      <c r="D36" s="2" t="s">
        <v>895</v>
      </c>
      <c r="E36" s="2">
        <v>7</v>
      </c>
      <c r="F36" s="3">
        <v>6</v>
      </c>
      <c r="G36" s="2">
        <v>35</v>
      </c>
      <c r="H36" s="8">
        <v>2</v>
      </c>
      <c r="J36" s="4">
        <v>2</v>
      </c>
      <c r="K36" s="2" t="str">
        <f t="shared" si="0"/>
        <v>resp-correct</v>
      </c>
      <c r="L36" s="2" t="s">
        <v>36</v>
      </c>
    </row>
    <row r="37" spans="1:12" x14ac:dyDescent="0.2">
      <c r="A37" s="2" t="s">
        <v>3</v>
      </c>
      <c r="B37" s="2" t="s">
        <v>161</v>
      </c>
      <c r="C37" s="2" t="s">
        <v>11</v>
      </c>
      <c r="D37" s="2" t="s">
        <v>896</v>
      </c>
      <c r="E37" s="2">
        <v>7</v>
      </c>
      <c r="F37" s="3">
        <v>7</v>
      </c>
      <c r="G37" s="2">
        <v>36</v>
      </c>
      <c r="H37" s="8">
        <v>2</v>
      </c>
      <c r="J37" s="4">
        <v>3</v>
      </c>
      <c r="K37" s="2" t="str">
        <f t="shared" si="0"/>
        <v>resp-inc</v>
      </c>
      <c r="L37" s="2" t="s">
        <v>36</v>
      </c>
    </row>
    <row r="38" spans="1:12" x14ac:dyDescent="0.2">
      <c r="A38" s="2" t="s">
        <v>3</v>
      </c>
      <c r="B38" s="2" t="s">
        <v>161</v>
      </c>
      <c r="C38" s="2" t="s">
        <v>12</v>
      </c>
      <c r="D38" s="2" t="s">
        <v>897</v>
      </c>
      <c r="E38" s="2">
        <v>8</v>
      </c>
      <c r="F38" s="3">
        <v>1</v>
      </c>
      <c r="G38" s="2">
        <v>37</v>
      </c>
      <c r="H38" s="8">
        <v>2</v>
      </c>
      <c r="J38" s="4">
        <v>2</v>
      </c>
      <c r="K38" s="2" t="str">
        <f t="shared" si="0"/>
        <v>resp-correct</v>
      </c>
      <c r="L38" s="2" t="s">
        <v>150</v>
      </c>
    </row>
    <row r="39" spans="1:12" x14ac:dyDescent="0.2">
      <c r="A39" s="2" t="s">
        <v>3</v>
      </c>
      <c r="B39" s="2" t="s">
        <v>161</v>
      </c>
      <c r="C39" s="2" t="s">
        <v>12</v>
      </c>
      <c r="D39" s="2" t="s">
        <v>898</v>
      </c>
      <c r="E39" s="2">
        <v>8</v>
      </c>
      <c r="F39" s="3">
        <v>2</v>
      </c>
      <c r="G39" s="2">
        <v>38</v>
      </c>
      <c r="H39" s="8">
        <v>2</v>
      </c>
      <c r="J39" s="4">
        <v>4</v>
      </c>
      <c r="K39" s="2" t="str">
        <f t="shared" si="0"/>
        <v>resp-inc</v>
      </c>
      <c r="L39" s="2" t="s">
        <v>29</v>
      </c>
    </row>
    <row r="40" spans="1:12" x14ac:dyDescent="0.2">
      <c r="A40" s="2" t="s">
        <v>3</v>
      </c>
      <c r="B40" s="2" t="s">
        <v>161</v>
      </c>
      <c r="C40" s="2" t="s">
        <v>12</v>
      </c>
      <c r="D40" s="2" t="s">
        <v>899</v>
      </c>
      <c r="E40" s="2">
        <v>8</v>
      </c>
      <c r="F40" s="3">
        <v>3</v>
      </c>
      <c r="G40" s="2">
        <v>39</v>
      </c>
      <c r="H40" s="8">
        <v>2</v>
      </c>
      <c r="J40" s="4">
        <v>2</v>
      </c>
      <c r="K40" s="2" t="str">
        <f t="shared" si="0"/>
        <v>resp-correct</v>
      </c>
      <c r="L40" s="2" t="s">
        <v>150</v>
      </c>
    </row>
    <row r="41" spans="1:12" x14ac:dyDescent="0.2">
      <c r="A41" s="2" t="s">
        <v>3</v>
      </c>
      <c r="B41" s="2" t="s">
        <v>161</v>
      </c>
      <c r="C41" s="2" t="s">
        <v>12</v>
      </c>
      <c r="D41" s="2" t="s">
        <v>900</v>
      </c>
      <c r="E41" s="2">
        <v>8</v>
      </c>
      <c r="F41" s="3">
        <v>4</v>
      </c>
      <c r="G41" s="2">
        <v>40</v>
      </c>
      <c r="H41" s="8">
        <v>2</v>
      </c>
      <c r="J41" s="4">
        <v>1</v>
      </c>
      <c r="K41" s="2" t="str">
        <f t="shared" si="0"/>
        <v>resp-inc</v>
      </c>
      <c r="L41" s="2" t="s">
        <v>30</v>
      </c>
    </row>
    <row r="42" spans="1:12" x14ac:dyDescent="0.2">
      <c r="A42" s="2" t="s">
        <v>3</v>
      </c>
      <c r="B42" s="2" t="s">
        <v>161</v>
      </c>
      <c r="C42" s="2" t="s">
        <v>89</v>
      </c>
      <c r="D42" s="2" t="s">
        <v>901</v>
      </c>
      <c r="E42" s="2">
        <v>9</v>
      </c>
      <c r="F42" s="3">
        <v>1</v>
      </c>
      <c r="G42" s="2">
        <v>41</v>
      </c>
      <c r="H42" s="8">
        <v>2</v>
      </c>
      <c r="J42" s="4">
        <v>2</v>
      </c>
      <c r="K42" s="2" t="str">
        <f t="shared" si="0"/>
        <v>resp-correct</v>
      </c>
      <c r="L42" s="2" t="s">
        <v>134</v>
      </c>
    </row>
    <row r="43" spans="1:12" x14ac:dyDescent="0.2">
      <c r="A43" s="2" t="s">
        <v>3</v>
      </c>
      <c r="B43" s="2" t="s">
        <v>161</v>
      </c>
      <c r="C43" s="2" t="s">
        <v>89</v>
      </c>
      <c r="D43" s="2" t="s">
        <v>902</v>
      </c>
      <c r="E43" s="2">
        <v>9</v>
      </c>
      <c r="F43" s="3">
        <v>2</v>
      </c>
      <c r="G43" s="2">
        <v>42</v>
      </c>
      <c r="H43" s="8">
        <v>2</v>
      </c>
      <c r="J43" s="4">
        <v>2</v>
      </c>
      <c r="K43" s="2" t="str">
        <f t="shared" si="0"/>
        <v>resp-correct</v>
      </c>
      <c r="L43" s="2" t="s">
        <v>134</v>
      </c>
    </row>
    <row r="44" spans="1:12" x14ac:dyDescent="0.2">
      <c r="A44" s="2" t="s">
        <v>3</v>
      </c>
      <c r="B44" s="2" t="s">
        <v>161</v>
      </c>
      <c r="C44" s="2" t="s">
        <v>89</v>
      </c>
      <c r="D44" s="2" t="s">
        <v>903</v>
      </c>
      <c r="E44" s="2">
        <v>9</v>
      </c>
      <c r="F44" s="3">
        <v>3</v>
      </c>
      <c r="G44" s="2">
        <v>43</v>
      </c>
      <c r="H44" s="8">
        <v>2</v>
      </c>
      <c r="J44" s="4">
        <v>4</v>
      </c>
      <c r="K44" s="2" t="str">
        <f t="shared" si="0"/>
        <v>resp-inc</v>
      </c>
      <c r="L44" s="2" t="s">
        <v>134</v>
      </c>
    </row>
    <row r="45" spans="1:12" x14ac:dyDescent="0.2">
      <c r="A45" s="2" t="s">
        <v>3</v>
      </c>
      <c r="B45" s="2" t="s">
        <v>161</v>
      </c>
      <c r="C45" s="2" t="s">
        <v>89</v>
      </c>
      <c r="D45" s="2" t="s">
        <v>904</v>
      </c>
      <c r="E45" s="2">
        <v>9</v>
      </c>
      <c r="F45" s="3">
        <v>4</v>
      </c>
      <c r="G45" s="2">
        <v>44</v>
      </c>
      <c r="H45" s="8">
        <v>2</v>
      </c>
      <c r="J45" s="4">
        <v>2</v>
      </c>
      <c r="K45" s="2" t="str">
        <f t="shared" si="0"/>
        <v>resp-correct</v>
      </c>
      <c r="L45" s="2" t="s">
        <v>35</v>
      </c>
    </row>
    <row r="46" spans="1:12" x14ac:dyDescent="0.2">
      <c r="A46" s="2" t="s">
        <v>3</v>
      </c>
      <c r="B46" s="2" t="s">
        <v>161</v>
      </c>
      <c r="C46" s="2" t="s">
        <v>89</v>
      </c>
      <c r="D46" s="2" t="s">
        <v>905</v>
      </c>
      <c r="E46" s="2">
        <v>9</v>
      </c>
      <c r="F46" s="3">
        <v>5</v>
      </c>
      <c r="G46" s="2">
        <v>45</v>
      </c>
      <c r="H46" s="8">
        <v>2</v>
      </c>
      <c r="J46" s="4">
        <v>2</v>
      </c>
      <c r="K46" s="2" t="str">
        <f t="shared" si="0"/>
        <v>resp-correct</v>
      </c>
      <c r="L46" s="2" t="s">
        <v>134</v>
      </c>
    </row>
    <row r="47" spans="1:12" x14ac:dyDescent="0.2">
      <c r="A47" s="2" t="s">
        <v>3</v>
      </c>
      <c r="B47" s="2" t="s">
        <v>161</v>
      </c>
      <c r="C47" s="2" t="s">
        <v>89</v>
      </c>
      <c r="D47" s="2" t="s">
        <v>906</v>
      </c>
      <c r="E47" s="2">
        <v>9</v>
      </c>
      <c r="F47" s="3">
        <v>6</v>
      </c>
      <c r="G47" s="2">
        <v>46</v>
      </c>
      <c r="H47" s="8">
        <v>2</v>
      </c>
      <c r="J47" s="4">
        <v>3</v>
      </c>
      <c r="K47" s="2" t="str">
        <f t="shared" si="0"/>
        <v>resp-inc</v>
      </c>
      <c r="L47" s="2" t="s">
        <v>134</v>
      </c>
    </row>
    <row r="48" spans="1:12" x14ac:dyDescent="0.2">
      <c r="A48" s="2" t="s">
        <v>3</v>
      </c>
      <c r="B48" s="2" t="s">
        <v>161</v>
      </c>
      <c r="C48" s="2" t="s">
        <v>89</v>
      </c>
      <c r="D48" s="2" t="s">
        <v>907</v>
      </c>
      <c r="E48" s="2">
        <v>9</v>
      </c>
      <c r="F48" s="3">
        <v>7</v>
      </c>
      <c r="G48" s="2">
        <v>47</v>
      </c>
      <c r="H48" s="8">
        <v>2</v>
      </c>
      <c r="J48" s="4">
        <v>2</v>
      </c>
      <c r="K48" s="2" t="str">
        <f t="shared" si="0"/>
        <v>resp-correct</v>
      </c>
      <c r="L48" s="2" t="s">
        <v>134</v>
      </c>
    </row>
    <row r="49" spans="1:12" x14ac:dyDescent="0.2">
      <c r="A49" s="2" t="s">
        <v>3</v>
      </c>
      <c r="B49" s="2" t="s">
        <v>161</v>
      </c>
      <c r="C49" s="2" t="s">
        <v>6</v>
      </c>
      <c r="D49" s="2" t="s">
        <v>908</v>
      </c>
      <c r="E49" s="2">
        <v>10</v>
      </c>
      <c r="F49" s="3">
        <v>1</v>
      </c>
      <c r="G49" s="2">
        <v>48</v>
      </c>
      <c r="H49" s="8">
        <v>2</v>
      </c>
      <c r="J49" s="4">
        <v>4</v>
      </c>
      <c r="K49" s="2" t="str">
        <f t="shared" si="0"/>
        <v>resp-inc</v>
      </c>
      <c r="L49" s="2" t="s">
        <v>135</v>
      </c>
    </row>
    <row r="50" spans="1:12" x14ac:dyDescent="0.2">
      <c r="A50" s="2" t="s">
        <v>3</v>
      </c>
      <c r="B50" s="2" t="s">
        <v>161</v>
      </c>
      <c r="C50" s="2" t="s">
        <v>6</v>
      </c>
      <c r="D50" s="2" t="s">
        <v>909</v>
      </c>
      <c r="E50" s="2">
        <v>10</v>
      </c>
      <c r="F50" s="3">
        <v>2</v>
      </c>
      <c r="G50" s="2">
        <v>49</v>
      </c>
      <c r="H50" s="8">
        <v>2</v>
      </c>
      <c r="J50" s="4">
        <v>2</v>
      </c>
      <c r="K50" s="2" t="str">
        <f t="shared" si="0"/>
        <v>resp-correct</v>
      </c>
      <c r="L50" s="2" t="s">
        <v>62</v>
      </c>
    </row>
    <row r="51" spans="1:12" x14ac:dyDescent="0.2">
      <c r="A51" s="2" t="s">
        <v>3</v>
      </c>
      <c r="B51" s="2" t="s">
        <v>161</v>
      </c>
      <c r="C51" s="2" t="s">
        <v>6</v>
      </c>
      <c r="D51" s="2" t="s">
        <v>910</v>
      </c>
      <c r="E51" s="2">
        <v>10</v>
      </c>
      <c r="F51" s="3">
        <v>3</v>
      </c>
      <c r="G51" s="2">
        <v>50</v>
      </c>
      <c r="H51" s="8">
        <v>2</v>
      </c>
      <c r="J51" s="4">
        <v>2</v>
      </c>
      <c r="K51" s="2" t="str">
        <f t="shared" si="0"/>
        <v>resp-correct</v>
      </c>
      <c r="L51" s="2" t="s">
        <v>135</v>
      </c>
    </row>
    <row r="52" spans="1:12" x14ac:dyDescent="0.2">
      <c r="A52" s="2" t="s">
        <v>3</v>
      </c>
      <c r="B52" s="2" t="s">
        <v>161</v>
      </c>
      <c r="C52" s="2" t="s">
        <v>6</v>
      </c>
      <c r="D52" s="2" t="s">
        <v>911</v>
      </c>
      <c r="E52" s="2">
        <v>10</v>
      </c>
      <c r="F52" s="3">
        <v>4</v>
      </c>
      <c r="G52" s="2">
        <v>51</v>
      </c>
      <c r="H52" s="8">
        <v>2</v>
      </c>
      <c r="J52" s="4">
        <v>3</v>
      </c>
      <c r="K52" s="2" t="str">
        <f t="shared" si="0"/>
        <v>resp-inc</v>
      </c>
      <c r="L52" s="2" t="s">
        <v>157</v>
      </c>
    </row>
    <row r="53" spans="1:12" x14ac:dyDescent="0.2">
      <c r="A53" s="2" t="s">
        <v>3</v>
      </c>
      <c r="B53" s="2" t="s">
        <v>161</v>
      </c>
      <c r="C53" s="2" t="s">
        <v>6</v>
      </c>
      <c r="D53" s="2" t="s">
        <v>912</v>
      </c>
      <c r="E53" s="2">
        <v>10</v>
      </c>
      <c r="F53" s="3">
        <v>5</v>
      </c>
      <c r="G53" s="2">
        <v>52</v>
      </c>
      <c r="H53" s="8">
        <v>2</v>
      </c>
      <c r="J53" s="4">
        <v>1</v>
      </c>
      <c r="K53" s="2" t="str">
        <f t="shared" si="0"/>
        <v>resp-inc</v>
      </c>
      <c r="L53" s="2" t="s">
        <v>30</v>
      </c>
    </row>
    <row r="54" spans="1:12" x14ac:dyDescent="0.2">
      <c r="A54" s="2" t="s">
        <v>4</v>
      </c>
      <c r="B54" s="2" t="s">
        <v>162</v>
      </c>
      <c r="C54" s="2" t="s">
        <v>7</v>
      </c>
      <c r="D54" s="2" t="s">
        <v>913</v>
      </c>
      <c r="E54" s="2">
        <v>1</v>
      </c>
      <c r="F54" s="3">
        <v>1</v>
      </c>
      <c r="G54" s="2">
        <v>1</v>
      </c>
      <c r="H54" s="8">
        <v>2</v>
      </c>
      <c r="J54" s="4">
        <v>1</v>
      </c>
      <c r="K54" s="2" t="str">
        <f t="shared" si="0"/>
        <v>resp-inc</v>
      </c>
      <c r="L54" s="2" t="s">
        <v>42</v>
      </c>
    </row>
    <row r="55" spans="1:12" x14ac:dyDescent="0.2">
      <c r="A55" s="2" t="s">
        <v>4</v>
      </c>
      <c r="B55" s="2" t="s">
        <v>162</v>
      </c>
      <c r="C55" s="2" t="s">
        <v>7</v>
      </c>
      <c r="D55" s="2" t="s">
        <v>914</v>
      </c>
      <c r="E55" s="2">
        <v>1</v>
      </c>
      <c r="F55" s="3">
        <v>2</v>
      </c>
      <c r="G55" s="2">
        <v>2</v>
      </c>
      <c r="H55" s="8">
        <v>3</v>
      </c>
      <c r="J55" s="4">
        <v>2</v>
      </c>
      <c r="K55" s="2" t="str">
        <f t="shared" si="0"/>
        <v>resp-inc</v>
      </c>
      <c r="L55" s="2" t="s">
        <v>38</v>
      </c>
    </row>
    <row r="56" spans="1:12" x14ac:dyDescent="0.2">
      <c r="A56" s="2" t="s">
        <v>4</v>
      </c>
      <c r="B56" s="2" t="s">
        <v>162</v>
      </c>
      <c r="C56" s="2" t="s">
        <v>7</v>
      </c>
      <c r="D56" s="2" t="s">
        <v>915</v>
      </c>
      <c r="E56" s="2">
        <v>1</v>
      </c>
      <c r="F56" s="3">
        <v>3</v>
      </c>
      <c r="G56" s="2">
        <v>3</v>
      </c>
      <c r="H56" s="8">
        <v>3</v>
      </c>
      <c r="J56" s="4">
        <v>3</v>
      </c>
      <c r="K56" s="2" t="str">
        <f t="shared" si="0"/>
        <v>resp-correct</v>
      </c>
      <c r="L56" s="2" t="s">
        <v>42</v>
      </c>
    </row>
    <row r="57" spans="1:12" x14ac:dyDescent="0.2">
      <c r="A57" s="2" t="s">
        <v>4</v>
      </c>
      <c r="B57" s="2" t="s">
        <v>162</v>
      </c>
      <c r="C57" s="2" t="s">
        <v>7</v>
      </c>
      <c r="D57" s="2" t="s">
        <v>916</v>
      </c>
      <c r="E57" s="2">
        <v>1</v>
      </c>
      <c r="F57" s="3">
        <v>4</v>
      </c>
      <c r="G57" s="2">
        <v>4</v>
      </c>
      <c r="H57" s="8">
        <v>3</v>
      </c>
      <c r="J57" s="4">
        <v>2</v>
      </c>
      <c r="K57" s="2" t="str">
        <f t="shared" si="0"/>
        <v>resp-inc</v>
      </c>
      <c r="L57" s="2" t="s">
        <v>41</v>
      </c>
    </row>
    <row r="58" spans="1:12" x14ac:dyDescent="0.2">
      <c r="A58" s="2" t="s">
        <v>4</v>
      </c>
      <c r="B58" s="2" t="s">
        <v>162</v>
      </c>
      <c r="C58" s="2" t="s">
        <v>7</v>
      </c>
      <c r="D58" s="2" t="s">
        <v>917</v>
      </c>
      <c r="E58" s="2">
        <v>1</v>
      </c>
      <c r="F58" s="3">
        <v>5</v>
      </c>
      <c r="G58" s="2">
        <v>5</v>
      </c>
      <c r="H58" s="8">
        <v>3</v>
      </c>
      <c r="J58" s="4">
        <v>1</v>
      </c>
      <c r="K58" s="2" t="str">
        <f t="shared" si="0"/>
        <v>resp-inc</v>
      </c>
      <c r="L58" s="2" t="s">
        <v>40</v>
      </c>
    </row>
    <row r="59" spans="1:12" x14ac:dyDescent="0.2">
      <c r="A59" s="2" t="s">
        <v>4</v>
      </c>
      <c r="B59" s="2" t="s">
        <v>162</v>
      </c>
      <c r="C59" s="2" t="s">
        <v>8</v>
      </c>
      <c r="D59" s="2" t="s">
        <v>918</v>
      </c>
      <c r="E59" s="2">
        <v>2</v>
      </c>
      <c r="F59" s="3">
        <v>1</v>
      </c>
      <c r="G59" s="2">
        <v>6</v>
      </c>
      <c r="H59" s="8">
        <v>3</v>
      </c>
      <c r="J59" s="4">
        <v>1</v>
      </c>
      <c r="K59" s="2" t="str">
        <f t="shared" si="0"/>
        <v>resp-inc</v>
      </c>
      <c r="L59" s="2" t="s">
        <v>42</v>
      </c>
    </row>
    <row r="60" spans="1:12" x14ac:dyDescent="0.2">
      <c r="A60" s="2" t="s">
        <v>4</v>
      </c>
      <c r="B60" s="2" t="s">
        <v>162</v>
      </c>
      <c r="C60" s="2" t="s">
        <v>8</v>
      </c>
      <c r="D60" s="2" t="s">
        <v>919</v>
      </c>
      <c r="E60" s="2">
        <v>2</v>
      </c>
      <c r="F60" s="3">
        <v>2</v>
      </c>
      <c r="G60" s="2">
        <v>7</v>
      </c>
      <c r="H60" s="8">
        <v>3</v>
      </c>
      <c r="J60" s="4">
        <v>4</v>
      </c>
      <c r="K60" s="2" t="str">
        <f t="shared" si="0"/>
        <v>resp-inc</v>
      </c>
      <c r="L60" s="2" t="s">
        <v>42</v>
      </c>
    </row>
    <row r="61" spans="1:12" x14ac:dyDescent="0.2">
      <c r="A61" s="2" t="s">
        <v>4</v>
      </c>
      <c r="B61" s="2" t="s">
        <v>162</v>
      </c>
      <c r="C61" s="2" t="s">
        <v>8</v>
      </c>
      <c r="D61" s="2" t="s">
        <v>920</v>
      </c>
      <c r="E61" s="2">
        <v>2</v>
      </c>
      <c r="F61" s="3">
        <v>3</v>
      </c>
      <c r="G61" s="2">
        <v>8</v>
      </c>
      <c r="H61" s="8">
        <v>4</v>
      </c>
      <c r="J61" s="4">
        <v>2</v>
      </c>
      <c r="K61" s="2" t="str">
        <f t="shared" si="0"/>
        <v>resp-inc</v>
      </c>
      <c r="L61" s="2" t="s">
        <v>40</v>
      </c>
    </row>
    <row r="62" spans="1:12" x14ac:dyDescent="0.2">
      <c r="A62" s="2" t="s">
        <v>4</v>
      </c>
      <c r="B62" s="2" t="s">
        <v>162</v>
      </c>
      <c r="C62" s="2" t="s">
        <v>8</v>
      </c>
      <c r="D62" s="2" t="s">
        <v>921</v>
      </c>
      <c r="E62" s="2">
        <v>2</v>
      </c>
      <c r="F62" s="3">
        <v>4</v>
      </c>
      <c r="G62" s="2">
        <v>9</v>
      </c>
      <c r="H62" s="8">
        <v>4</v>
      </c>
      <c r="J62" s="4">
        <v>1</v>
      </c>
      <c r="K62" s="2" t="str">
        <f t="shared" si="0"/>
        <v>resp-inc</v>
      </c>
      <c r="L62" s="2" t="s">
        <v>38</v>
      </c>
    </row>
    <row r="63" spans="1:12" x14ac:dyDescent="0.2">
      <c r="A63" s="2" t="s">
        <v>4</v>
      </c>
      <c r="B63" s="2" t="s">
        <v>162</v>
      </c>
      <c r="C63" s="2" t="s">
        <v>8</v>
      </c>
      <c r="D63" s="2" t="s">
        <v>922</v>
      </c>
      <c r="E63" s="2">
        <v>2</v>
      </c>
      <c r="F63" s="3">
        <v>5</v>
      </c>
      <c r="G63" s="2">
        <v>10</v>
      </c>
      <c r="H63" s="8">
        <v>4</v>
      </c>
      <c r="J63" s="4">
        <v>4</v>
      </c>
      <c r="K63" s="2" t="str">
        <f t="shared" si="0"/>
        <v>resp-correct</v>
      </c>
      <c r="L63" s="2" t="s">
        <v>42</v>
      </c>
    </row>
    <row r="64" spans="1:12" x14ac:dyDescent="0.2">
      <c r="A64" s="2" t="s">
        <v>4</v>
      </c>
      <c r="B64" s="2" t="s">
        <v>162</v>
      </c>
      <c r="C64" s="2" t="s">
        <v>8</v>
      </c>
      <c r="D64" s="2" t="s">
        <v>923</v>
      </c>
      <c r="E64" s="2">
        <v>2</v>
      </c>
      <c r="F64" s="3">
        <v>6</v>
      </c>
      <c r="G64" s="2">
        <v>11</v>
      </c>
      <c r="H64" s="8">
        <v>4</v>
      </c>
      <c r="J64" s="4">
        <v>4</v>
      </c>
      <c r="K64" s="2" t="str">
        <f t="shared" si="0"/>
        <v>resp-correct</v>
      </c>
      <c r="L64" s="4" t="s">
        <v>42</v>
      </c>
    </row>
    <row r="65" spans="1:12" x14ac:dyDescent="0.2">
      <c r="A65" s="2" t="s">
        <v>4</v>
      </c>
      <c r="B65" s="2" t="s">
        <v>162</v>
      </c>
      <c r="C65" s="2" t="s">
        <v>8</v>
      </c>
      <c r="D65" s="2" t="s">
        <v>924</v>
      </c>
      <c r="E65" s="2">
        <v>2</v>
      </c>
      <c r="F65" s="3">
        <v>7</v>
      </c>
      <c r="G65" s="2">
        <v>12</v>
      </c>
      <c r="H65" s="8">
        <v>4</v>
      </c>
      <c r="J65" s="4">
        <v>2</v>
      </c>
      <c r="K65" s="2" t="str">
        <f t="shared" si="0"/>
        <v>resp-inc</v>
      </c>
      <c r="L65" s="2" t="s">
        <v>41</v>
      </c>
    </row>
    <row r="66" spans="1:12" x14ac:dyDescent="0.2">
      <c r="A66" s="2" t="s">
        <v>4</v>
      </c>
      <c r="B66" s="2" t="s">
        <v>162</v>
      </c>
      <c r="C66" s="2" t="s">
        <v>9</v>
      </c>
      <c r="D66" s="2" t="s">
        <v>925</v>
      </c>
      <c r="E66" s="2">
        <v>3</v>
      </c>
      <c r="F66" s="3">
        <v>1</v>
      </c>
      <c r="G66" s="2">
        <v>13</v>
      </c>
      <c r="H66" s="8">
        <v>1</v>
      </c>
      <c r="J66" s="4">
        <v>4</v>
      </c>
      <c r="K66" s="2" t="str">
        <f t="shared" si="0"/>
        <v>resp-inc</v>
      </c>
      <c r="L66" s="2" t="s">
        <v>38</v>
      </c>
    </row>
    <row r="67" spans="1:12" x14ac:dyDescent="0.2">
      <c r="A67" s="2" t="s">
        <v>4</v>
      </c>
      <c r="B67" s="2" t="s">
        <v>162</v>
      </c>
      <c r="C67" s="2" t="s">
        <v>9</v>
      </c>
      <c r="D67" s="2" t="s">
        <v>926</v>
      </c>
      <c r="E67" s="2">
        <v>3</v>
      </c>
      <c r="F67" s="3">
        <v>2</v>
      </c>
      <c r="G67" s="2">
        <v>14</v>
      </c>
      <c r="H67" s="8">
        <v>1</v>
      </c>
      <c r="J67" s="4">
        <v>4</v>
      </c>
      <c r="K67" s="2" t="str">
        <f t="shared" si="0"/>
        <v>resp-inc</v>
      </c>
      <c r="L67" s="2" t="s">
        <v>38</v>
      </c>
    </row>
    <row r="68" spans="1:12" x14ac:dyDescent="0.2">
      <c r="A68" s="2" t="s">
        <v>4</v>
      </c>
      <c r="B68" s="2" t="s">
        <v>162</v>
      </c>
      <c r="C68" s="2" t="s">
        <v>9</v>
      </c>
      <c r="D68" s="2" t="s">
        <v>927</v>
      </c>
      <c r="E68" s="2">
        <v>3</v>
      </c>
      <c r="F68" s="3">
        <v>3</v>
      </c>
      <c r="G68" s="2">
        <v>15</v>
      </c>
      <c r="H68" s="8">
        <v>1</v>
      </c>
      <c r="J68" s="4">
        <v>2</v>
      </c>
      <c r="K68" s="2" t="str">
        <f t="shared" si="0"/>
        <v>resp-inc</v>
      </c>
      <c r="L68" s="2" t="s">
        <v>38</v>
      </c>
    </row>
    <row r="69" spans="1:12" x14ac:dyDescent="0.2">
      <c r="A69" s="2" t="s">
        <v>4</v>
      </c>
      <c r="B69" s="2" t="s">
        <v>162</v>
      </c>
      <c r="C69" s="17" t="s">
        <v>9</v>
      </c>
      <c r="D69" s="2" t="s">
        <v>928</v>
      </c>
      <c r="E69" s="2">
        <v>3</v>
      </c>
      <c r="F69" s="3">
        <v>4</v>
      </c>
      <c r="G69" s="2">
        <v>16</v>
      </c>
      <c r="H69" s="8">
        <v>1</v>
      </c>
      <c r="J69" s="4">
        <v>1</v>
      </c>
      <c r="K69" s="2" t="str">
        <f t="shared" si="0"/>
        <v>resp-correct</v>
      </c>
      <c r="L69" s="2" t="s">
        <v>38</v>
      </c>
    </row>
    <row r="70" spans="1:12" x14ac:dyDescent="0.2">
      <c r="A70" s="2" t="s">
        <v>4</v>
      </c>
      <c r="B70" s="2" t="s">
        <v>162</v>
      </c>
      <c r="C70" s="17" t="s">
        <v>9</v>
      </c>
      <c r="D70" s="2" t="s">
        <v>929</v>
      </c>
      <c r="E70" s="2">
        <v>3</v>
      </c>
      <c r="F70" s="3">
        <v>5</v>
      </c>
      <c r="G70" s="2">
        <v>17</v>
      </c>
      <c r="H70" s="8">
        <v>2</v>
      </c>
      <c r="J70" s="4">
        <v>2</v>
      </c>
      <c r="K70" s="2" t="str">
        <f t="shared" si="0"/>
        <v>resp-correct</v>
      </c>
      <c r="L70" s="2" t="s">
        <v>42</v>
      </c>
    </row>
    <row r="71" spans="1:12" x14ac:dyDescent="0.2">
      <c r="A71" s="2" t="s">
        <v>4</v>
      </c>
      <c r="B71" s="2" t="s">
        <v>162</v>
      </c>
      <c r="C71" s="17" t="s">
        <v>10</v>
      </c>
      <c r="D71" s="2" t="s">
        <v>930</v>
      </c>
      <c r="E71" s="2">
        <v>4</v>
      </c>
      <c r="F71" s="3">
        <v>1</v>
      </c>
      <c r="G71" s="2">
        <v>18</v>
      </c>
      <c r="H71" s="8">
        <v>2</v>
      </c>
      <c r="J71" s="4">
        <v>2</v>
      </c>
      <c r="K71" s="2" t="str">
        <f t="shared" si="0"/>
        <v>resp-correct</v>
      </c>
      <c r="L71" s="2" t="s">
        <v>40</v>
      </c>
    </row>
    <row r="72" spans="1:12" x14ac:dyDescent="0.2">
      <c r="A72" s="2" t="s">
        <v>4</v>
      </c>
      <c r="B72" s="2" t="s">
        <v>162</v>
      </c>
      <c r="C72" s="17" t="s">
        <v>10</v>
      </c>
      <c r="D72" s="2" t="s">
        <v>931</v>
      </c>
      <c r="E72" s="2">
        <v>4</v>
      </c>
      <c r="F72" s="3">
        <v>2</v>
      </c>
      <c r="G72" s="2">
        <v>19</v>
      </c>
      <c r="H72" s="8">
        <v>2</v>
      </c>
      <c r="J72" s="4">
        <v>2</v>
      </c>
      <c r="K72" s="2" t="str">
        <f t="shared" si="0"/>
        <v>resp-correct</v>
      </c>
      <c r="L72" s="4" t="s">
        <v>42</v>
      </c>
    </row>
    <row r="73" spans="1:12" x14ac:dyDescent="0.2">
      <c r="A73" s="2" t="s">
        <v>4</v>
      </c>
      <c r="B73" s="2" t="s">
        <v>162</v>
      </c>
      <c r="C73" s="17" t="s">
        <v>10</v>
      </c>
      <c r="D73" s="2" t="s">
        <v>932</v>
      </c>
      <c r="E73" s="2">
        <v>4</v>
      </c>
      <c r="F73" s="3">
        <v>3</v>
      </c>
      <c r="G73" s="2">
        <v>20</v>
      </c>
      <c r="H73" s="8">
        <v>2</v>
      </c>
      <c r="J73" s="4">
        <v>3</v>
      </c>
      <c r="K73" s="2" t="str">
        <f t="shared" si="0"/>
        <v>resp-inc</v>
      </c>
      <c r="L73" s="2" t="s">
        <v>41</v>
      </c>
    </row>
    <row r="74" spans="1:12" x14ac:dyDescent="0.2">
      <c r="A74" s="2" t="s">
        <v>4</v>
      </c>
      <c r="B74" s="2" t="s">
        <v>162</v>
      </c>
      <c r="C74" s="17" t="s">
        <v>10</v>
      </c>
      <c r="D74" s="2" t="s">
        <v>933</v>
      </c>
      <c r="E74" s="2">
        <v>4</v>
      </c>
      <c r="F74" s="3">
        <v>4</v>
      </c>
      <c r="G74" s="2">
        <v>21</v>
      </c>
      <c r="H74" s="8">
        <v>2</v>
      </c>
      <c r="J74" s="4">
        <v>2</v>
      </c>
      <c r="K74" s="2" t="str">
        <f t="shared" si="0"/>
        <v>resp-correct</v>
      </c>
      <c r="L74" s="2" t="s">
        <v>40</v>
      </c>
    </row>
    <row r="75" spans="1:12" x14ac:dyDescent="0.2">
      <c r="A75" s="2" t="s">
        <v>4</v>
      </c>
      <c r="B75" s="2" t="s">
        <v>162</v>
      </c>
      <c r="C75" s="2" t="s">
        <v>10</v>
      </c>
      <c r="D75" s="2" t="s">
        <v>934</v>
      </c>
      <c r="E75" s="2">
        <v>4</v>
      </c>
      <c r="F75" s="3">
        <v>5</v>
      </c>
      <c r="G75" s="2">
        <v>22</v>
      </c>
      <c r="H75" s="8">
        <v>1</v>
      </c>
      <c r="J75" s="4">
        <v>3</v>
      </c>
      <c r="K75" s="2" t="str">
        <f t="shared" si="0"/>
        <v>resp-inc</v>
      </c>
      <c r="L75" s="4" t="s">
        <v>42</v>
      </c>
    </row>
    <row r="76" spans="1:12" x14ac:dyDescent="0.2">
      <c r="A76" s="2" t="s">
        <v>4</v>
      </c>
      <c r="B76" s="2" t="s">
        <v>162</v>
      </c>
      <c r="C76" s="2" t="s">
        <v>10</v>
      </c>
      <c r="D76" s="2" t="s">
        <v>935</v>
      </c>
      <c r="E76" s="2">
        <v>4</v>
      </c>
      <c r="F76" s="3">
        <v>6</v>
      </c>
      <c r="G76" s="2">
        <v>23</v>
      </c>
      <c r="H76" s="8">
        <v>2</v>
      </c>
      <c r="J76" s="4">
        <v>4</v>
      </c>
      <c r="K76" s="2" t="str">
        <f t="shared" si="0"/>
        <v>resp-inc</v>
      </c>
      <c r="L76" s="2" t="s">
        <v>41</v>
      </c>
    </row>
    <row r="77" spans="1:12" x14ac:dyDescent="0.2">
      <c r="A77" s="2" t="s">
        <v>4</v>
      </c>
      <c r="B77" s="2" t="s">
        <v>162</v>
      </c>
      <c r="C77" s="2" t="s">
        <v>11</v>
      </c>
      <c r="D77" s="2" t="s">
        <v>936</v>
      </c>
      <c r="E77" s="2">
        <v>5</v>
      </c>
      <c r="F77" s="3">
        <v>1</v>
      </c>
      <c r="G77" s="2">
        <v>24</v>
      </c>
      <c r="H77" s="8">
        <v>1</v>
      </c>
      <c r="J77" s="4">
        <v>4</v>
      </c>
      <c r="K77" s="2" t="str">
        <f t="shared" si="0"/>
        <v>resp-inc</v>
      </c>
      <c r="L77" s="4" t="s">
        <v>38</v>
      </c>
    </row>
    <row r="78" spans="1:12" x14ac:dyDescent="0.2">
      <c r="A78" s="2" t="s">
        <v>4</v>
      </c>
      <c r="B78" s="2" t="s">
        <v>162</v>
      </c>
      <c r="C78" s="2" t="s">
        <v>11</v>
      </c>
      <c r="D78" s="2" t="s">
        <v>937</v>
      </c>
      <c r="E78" s="2">
        <v>5</v>
      </c>
      <c r="F78" s="3">
        <v>2</v>
      </c>
      <c r="G78" s="2">
        <v>25</v>
      </c>
      <c r="H78" s="8">
        <v>1</v>
      </c>
      <c r="J78" s="4">
        <v>1</v>
      </c>
      <c r="K78" s="2" t="str">
        <f t="shared" si="0"/>
        <v>resp-correct</v>
      </c>
      <c r="L78" s="2" t="s">
        <v>42</v>
      </c>
    </row>
    <row r="79" spans="1:12" x14ac:dyDescent="0.2">
      <c r="A79" s="2" t="s">
        <v>4</v>
      </c>
      <c r="B79" s="2" t="s">
        <v>162</v>
      </c>
      <c r="C79" s="2" t="s">
        <v>11</v>
      </c>
      <c r="D79" s="2" t="s">
        <v>938</v>
      </c>
      <c r="E79" s="2">
        <v>5</v>
      </c>
      <c r="F79" s="3">
        <v>3</v>
      </c>
      <c r="G79" s="2">
        <v>26</v>
      </c>
      <c r="H79" s="8">
        <v>2</v>
      </c>
      <c r="J79" s="4">
        <v>2</v>
      </c>
      <c r="K79" s="2" t="str">
        <f t="shared" ref="K79:K142" si="1">IF(H79=J79,"resp-correct","resp-inc")</f>
        <v>resp-correct</v>
      </c>
      <c r="L79" s="2" t="s">
        <v>41</v>
      </c>
    </row>
    <row r="80" spans="1:12" x14ac:dyDescent="0.2">
      <c r="A80" s="2" t="s">
        <v>4</v>
      </c>
      <c r="B80" s="2" t="s">
        <v>162</v>
      </c>
      <c r="C80" s="2" t="s">
        <v>11</v>
      </c>
      <c r="D80" s="2" t="s">
        <v>939</v>
      </c>
      <c r="E80" s="2">
        <v>5</v>
      </c>
      <c r="F80" s="3">
        <v>4</v>
      </c>
      <c r="G80" s="2">
        <v>27</v>
      </c>
      <c r="H80" s="8">
        <v>2</v>
      </c>
      <c r="J80" s="4">
        <v>1</v>
      </c>
      <c r="K80" s="2" t="str">
        <f t="shared" si="1"/>
        <v>resp-inc</v>
      </c>
      <c r="L80" s="2" t="s">
        <v>38</v>
      </c>
    </row>
    <row r="81" spans="1:12" x14ac:dyDescent="0.2">
      <c r="A81" s="2" t="s">
        <v>4</v>
      </c>
      <c r="B81" s="2" t="s">
        <v>162</v>
      </c>
      <c r="C81" s="2" t="s">
        <v>11</v>
      </c>
      <c r="D81" s="2" t="s">
        <v>940</v>
      </c>
      <c r="E81" s="2">
        <v>5</v>
      </c>
      <c r="F81" s="3">
        <v>5</v>
      </c>
      <c r="G81" s="2">
        <v>28</v>
      </c>
      <c r="H81" s="8">
        <v>2</v>
      </c>
      <c r="J81" s="4">
        <v>1</v>
      </c>
      <c r="K81" s="2" t="str">
        <f t="shared" si="1"/>
        <v>resp-inc</v>
      </c>
      <c r="L81" s="2" t="s">
        <v>42</v>
      </c>
    </row>
    <row r="82" spans="1:12" x14ac:dyDescent="0.2">
      <c r="A82" s="2" t="s">
        <v>4</v>
      </c>
      <c r="B82" s="2" t="s">
        <v>162</v>
      </c>
      <c r="C82" s="2" t="s">
        <v>11</v>
      </c>
      <c r="D82" s="2" t="s">
        <v>941</v>
      </c>
      <c r="E82" s="2">
        <v>5</v>
      </c>
      <c r="F82" s="3">
        <v>6</v>
      </c>
      <c r="G82" s="2">
        <v>29</v>
      </c>
      <c r="H82" s="8">
        <v>2</v>
      </c>
      <c r="J82" s="4">
        <v>4</v>
      </c>
      <c r="K82" s="2" t="str">
        <f t="shared" si="1"/>
        <v>resp-inc</v>
      </c>
      <c r="L82" s="4" t="s">
        <v>39</v>
      </c>
    </row>
    <row r="83" spans="1:12" x14ac:dyDescent="0.2">
      <c r="A83" s="2" t="s">
        <v>4</v>
      </c>
      <c r="B83" s="2" t="s">
        <v>162</v>
      </c>
      <c r="C83" s="2" t="s">
        <v>12</v>
      </c>
      <c r="D83" s="2" t="s">
        <v>942</v>
      </c>
      <c r="E83" s="2">
        <v>6</v>
      </c>
      <c r="F83" s="3">
        <v>1</v>
      </c>
      <c r="G83" s="2">
        <v>30</v>
      </c>
      <c r="H83" s="8">
        <v>2</v>
      </c>
      <c r="J83" s="4">
        <v>1</v>
      </c>
      <c r="K83" s="2" t="str">
        <f t="shared" si="1"/>
        <v>resp-inc</v>
      </c>
      <c r="L83" s="2" t="s">
        <v>42</v>
      </c>
    </row>
    <row r="84" spans="1:12" x14ac:dyDescent="0.2">
      <c r="A84" s="2" t="s">
        <v>4</v>
      </c>
      <c r="B84" s="2" t="s">
        <v>162</v>
      </c>
      <c r="C84" s="2" t="s">
        <v>12</v>
      </c>
      <c r="D84" s="2" t="s">
        <v>943</v>
      </c>
      <c r="E84" s="2">
        <v>6</v>
      </c>
      <c r="F84" s="3">
        <v>2</v>
      </c>
      <c r="G84" s="2">
        <v>31</v>
      </c>
      <c r="H84" s="8">
        <v>2</v>
      </c>
      <c r="J84" s="4">
        <v>3</v>
      </c>
      <c r="K84" s="2" t="str">
        <f t="shared" si="1"/>
        <v>resp-inc</v>
      </c>
      <c r="L84" s="2" t="s">
        <v>42</v>
      </c>
    </row>
    <row r="85" spans="1:12" x14ac:dyDescent="0.2">
      <c r="A85" s="2" t="s">
        <v>4</v>
      </c>
      <c r="B85" s="2" t="s">
        <v>162</v>
      </c>
      <c r="C85" s="2" t="s">
        <v>12</v>
      </c>
      <c r="D85" s="2" t="s">
        <v>944</v>
      </c>
      <c r="E85" s="2">
        <v>6</v>
      </c>
      <c r="F85" s="3">
        <v>3</v>
      </c>
      <c r="G85" s="2">
        <v>32</v>
      </c>
      <c r="H85" s="8">
        <v>3</v>
      </c>
      <c r="J85" s="4">
        <v>4</v>
      </c>
      <c r="K85" s="2" t="str">
        <f t="shared" si="1"/>
        <v>resp-inc</v>
      </c>
      <c r="L85" s="4" t="s">
        <v>42</v>
      </c>
    </row>
    <row r="86" spans="1:12" x14ac:dyDescent="0.2">
      <c r="A86" s="2" t="s">
        <v>4</v>
      </c>
      <c r="B86" s="2" t="s">
        <v>162</v>
      </c>
      <c r="C86" s="2" t="s">
        <v>12</v>
      </c>
      <c r="D86" s="2" t="s">
        <v>945</v>
      </c>
      <c r="E86" s="2">
        <v>6</v>
      </c>
      <c r="F86" s="3">
        <v>4</v>
      </c>
      <c r="G86" s="2">
        <v>33</v>
      </c>
      <c r="H86" s="8">
        <v>2</v>
      </c>
      <c r="J86" s="4">
        <v>2</v>
      </c>
      <c r="K86" s="2" t="str">
        <f t="shared" si="1"/>
        <v>resp-correct</v>
      </c>
      <c r="L86" s="2" t="s">
        <v>40</v>
      </c>
    </row>
    <row r="87" spans="1:12" x14ac:dyDescent="0.2">
      <c r="A87" s="2" t="s">
        <v>4</v>
      </c>
      <c r="B87" s="2" t="s">
        <v>162</v>
      </c>
      <c r="C87" s="2" t="s">
        <v>12</v>
      </c>
      <c r="D87" s="2" t="s">
        <v>946</v>
      </c>
      <c r="E87" s="2">
        <v>6</v>
      </c>
      <c r="F87" s="3">
        <v>5</v>
      </c>
      <c r="G87" s="2">
        <v>34</v>
      </c>
      <c r="H87" s="8">
        <v>2</v>
      </c>
      <c r="J87" s="4">
        <v>1</v>
      </c>
      <c r="K87" s="2" t="str">
        <f t="shared" si="1"/>
        <v>resp-inc</v>
      </c>
      <c r="L87" s="2" t="s">
        <v>42</v>
      </c>
    </row>
    <row r="88" spans="1:12" x14ac:dyDescent="0.2">
      <c r="A88" s="2" t="s">
        <v>4</v>
      </c>
      <c r="B88" s="2" t="s">
        <v>162</v>
      </c>
      <c r="C88" s="2" t="s">
        <v>12</v>
      </c>
      <c r="D88" s="2" t="s">
        <v>947</v>
      </c>
      <c r="E88" s="2">
        <v>6</v>
      </c>
      <c r="F88" s="3">
        <v>6</v>
      </c>
      <c r="G88" s="2">
        <v>35</v>
      </c>
      <c r="H88" s="8">
        <v>3</v>
      </c>
      <c r="J88" s="4">
        <v>1</v>
      </c>
      <c r="K88" s="2" t="str">
        <f t="shared" si="1"/>
        <v>resp-inc</v>
      </c>
      <c r="L88" s="4" t="s">
        <v>38</v>
      </c>
    </row>
    <row r="89" spans="1:12" x14ac:dyDescent="0.2">
      <c r="A89" s="2" t="s">
        <v>4</v>
      </c>
      <c r="B89" s="2" t="s">
        <v>162</v>
      </c>
      <c r="C89" s="2" t="s">
        <v>89</v>
      </c>
      <c r="D89" s="2" t="s">
        <v>948</v>
      </c>
      <c r="E89" s="2">
        <v>7</v>
      </c>
      <c r="F89" s="3">
        <v>1</v>
      </c>
      <c r="G89" s="2">
        <v>36</v>
      </c>
      <c r="H89" s="8">
        <v>2</v>
      </c>
      <c r="J89" s="4">
        <v>1</v>
      </c>
      <c r="K89" s="2" t="str">
        <f t="shared" si="1"/>
        <v>resp-inc</v>
      </c>
      <c r="L89" s="2" t="s">
        <v>42</v>
      </c>
    </row>
    <row r="90" spans="1:12" x14ac:dyDescent="0.2">
      <c r="A90" s="2" t="s">
        <v>4</v>
      </c>
      <c r="B90" s="2" t="s">
        <v>162</v>
      </c>
      <c r="C90" s="2" t="s">
        <v>89</v>
      </c>
      <c r="D90" s="2" t="s">
        <v>949</v>
      </c>
      <c r="E90" s="2">
        <v>7</v>
      </c>
      <c r="F90" s="3">
        <v>2</v>
      </c>
      <c r="G90" s="2">
        <v>37</v>
      </c>
      <c r="H90" s="8">
        <v>3</v>
      </c>
      <c r="J90" s="4">
        <v>2</v>
      </c>
      <c r="K90" s="2" t="str">
        <f t="shared" si="1"/>
        <v>resp-inc</v>
      </c>
      <c r="L90" s="4" t="s">
        <v>38</v>
      </c>
    </row>
    <row r="91" spans="1:12" x14ac:dyDescent="0.2">
      <c r="A91" s="2" t="s">
        <v>4</v>
      </c>
      <c r="B91" s="2" t="s">
        <v>162</v>
      </c>
      <c r="C91" s="2" t="s">
        <v>89</v>
      </c>
      <c r="D91" s="2" t="s">
        <v>950</v>
      </c>
      <c r="E91" s="2">
        <v>7</v>
      </c>
      <c r="F91" s="3">
        <v>3</v>
      </c>
      <c r="G91" s="2">
        <v>38</v>
      </c>
      <c r="H91" s="8">
        <v>2</v>
      </c>
      <c r="J91" s="4">
        <v>2</v>
      </c>
      <c r="K91" s="2" t="str">
        <f t="shared" si="1"/>
        <v>resp-correct</v>
      </c>
      <c r="L91" s="2" t="s">
        <v>38</v>
      </c>
    </row>
    <row r="92" spans="1:12" x14ac:dyDescent="0.2">
      <c r="A92" s="2" t="s">
        <v>4</v>
      </c>
      <c r="B92" s="2" t="s">
        <v>162</v>
      </c>
      <c r="C92" s="2" t="s">
        <v>89</v>
      </c>
      <c r="D92" s="2" t="s">
        <v>951</v>
      </c>
      <c r="E92" s="2">
        <v>7</v>
      </c>
      <c r="F92" s="3">
        <v>4</v>
      </c>
      <c r="G92" s="2">
        <v>39</v>
      </c>
      <c r="H92" s="8">
        <v>2</v>
      </c>
      <c r="J92" s="4">
        <v>2</v>
      </c>
      <c r="K92" s="2" t="str">
        <f t="shared" si="1"/>
        <v>resp-correct</v>
      </c>
      <c r="L92" s="2" t="s">
        <v>40</v>
      </c>
    </row>
    <row r="93" spans="1:12" x14ac:dyDescent="0.2">
      <c r="A93" s="2" t="s">
        <v>4</v>
      </c>
      <c r="B93" s="2" t="s">
        <v>162</v>
      </c>
      <c r="C93" s="2" t="s">
        <v>89</v>
      </c>
      <c r="D93" s="2" t="s">
        <v>952</v>
      </c>
      <c r="E93" s="2">
        <v>7</v>
      </c>
      <c r="F93" s="3">
        <v>5</v>
      </c>
      <c r="G93" s="2">
        <v>40</v>
      </c>
      <c r="H93" s="8">
        <v>3</v>
      </c>
      <c r="J93" s="4">
        <v>2</v>
      </c>
      <c r="K93" s="2" t="str">
        <f t="shared" si="1"/>
        <v>resp-inc</v>
      </c>
      <c r="L93" s="4" t="s">
        <v>42</v>
      </c>
    </row>
    <row r="94" spans="1:12" x14ac:dyDescent="0.2">
      <c r="A94" s="2" t="s">
        <v>5</v>
      </c>
      <c r="B94" s="2" t="s">
        <v>163</v>
      </c>
      <c r="C94" s="2" t="s">
        <v>7</v>
      </c>
      <c r="D94" s="2" t="s">
        <v>953</v>
      </c>
      <c r="E94" s="2">
        <v>1</v>
      </c>
      <c r="F94" s="3">
        <v>1</v>
      </c>
      <c r="G94" s="2">
        <v>1</v>
      </c>
      <c r="H94" s="8">
        <v>3</v>
      </c>
      <c r="J94" s="4">
        <v>3</v>
      </c>
      <c r="K94" s="2" t="str">
        <f t="shared" si="1"/>
        <v>resp-correct</v>
      </c>
      <c r="L94" s="2" t="s">
        <v>49</v>
      </c>
    </row>
    <row r="95" spans="1:12" x14ac:dyDescent="0.2">
      <c r="A95" s="2" t="s">
        <v>5</v>
      </c>
      <c r="B95" s="2" t="s">
        <v>163</v>
      </c>
      <c r="C95" s="2" t="s">
        <v>7</v>
      </c>
      <c r="D95" s="2" t="s">
        <v>954</v>
      </c>
      <c r="E95" s="2">
        <v>1</v>
      </c>
      <c r="F95" s="3">
        <v>2</v>
      </c>
      <c r="G95" s="2">
        <v>2</v>
      </c>
      <c r="H95" s="8">
        <v>3</v>
      </c>
      <c r="J95" s="4">
        <v>4</v>
      </c>
      <c r="K95" s="2" t="str">
        <f t="shared" si="1"/>
        <v>resp-inc</v>
      </c>
      <c r="L95" s="2" t="s">
        <v>50</v>
      </c>
    </row>
    <row r="96" spans="1:12" x14ac:dyDescent="0.2">
      <c r="A96" s="2" t="s">
        <v>5</v>
      </c>
      <c r="B96" s="2" t="s">
        <v>163</v>
      </c>
      <c r="C96" s="2" t="s">
        <v>7</v>
      </c>
      <c r="D96" s="2" t="s">
        <v>955</v>
      </c>
      <c r="E96" s="2">
        <v>1</v>
      </c>
      <c r="F96" s="3">
        <v>3</v>
      </c>
      <c r="G96" s="2">
        <v>3</v>
      </c>
      <c r="H96" s="8">
        <v>3</v>
      </c>
      <c r="J96" s="4">
        <v>1</v>
      </c>
      <c r="K96" s="2" t="str">
        <f t="shared" si="1"/>
        <v>resp-inc</v>
      </c>
      <c r="L96" s="2" t="s">
        <v>54</v>
      </c>
    </row>
    <row r="97" spans="1:12" x14ac:dyDescent="0.2">
      <c r="A97" s="2" t="s">
        <v>5</v>
      </c>
      <c r="B97" s="2" t="s">
        <v>163</v>
      </c>
      <c r="C97" s="2" t="s">
        <v>7</v>
      </c>
      <c r="D97" s="2" t="s">
        <v>956</v>
      </c>
      <c r="E97" s="2">
        <v>1</v>
      </c>
      <c r="F97" s="3">
        <v>4</v>
      </c>
      <c r="G97" s="2">
        <v>4</v>
      </c>
      <c r="H97" s="8">
        <v>3</v>
      </c>
      <c r="J97" s="4">
        <v>2</v>
      </c>
      <c r="K97" s="2" t="str">
        <f t="shared" si="1"/>
        <v>resp-inc</v>
      </c>
      <c r="L97" s="2" t="s">
        <v>53</v>
      </c>
    </row>
    <row r="98" spans="1:12" x14ac:dyDescent="0.2">
      <c r="A98" s="2" t="s">
        <v>5</v>
      </c>
      <c r="B98" s="2" t="s">
        <v>163</v>
      </c>
      <c r="C98" s="2" t="s">
        <v>7</v>
      </c>
      <c r="D98" s="2" t="s">
        <v>957</v>
      </c>
      <c r="E98" s="2">
        <v>1</v>
      </c>
      <c r="F98" s="3">
        <v>5</v>
      </c>
      <c r="G98" s="2">
        <v>5</v>
      </c>
      <c r="H98" s="8">
        <v>3</v>
      </c>
      <c r="J98" s="4">
        <v>3</v>
      </c>
      <c r="K98" s="2" t="str">
        <f t="shared" si="1"/>
        <v>resp-correct</v>
      </c>
      <c r="L98" s="2" t="s">
        <v>54</v>
      </c>
    </row>
    <row r="99" spans="1:12" x14ac:dyDescent="0.2">
      <c r="A99" s="2" t="s">
        <v>5</v>
      </c>
      <c r="B99" s="2" t="s">
        <v>163</v>
      </c>
      <c r="C99" s="2" t="s">
        <v>7</v>
      </c>
      <c r="D99" s="2" t="s">
        <v>958</v>
      </c>
      <c r="E99" s="2">
        <v>1</v>
      </c>
      <c r="F99" s="3">
        <v>6</v>
      </c>
      <c r="G99" s="2">
        <v>6</v>
      </c>
      <c r="H99" s="8">
        <v>4</v>
      </c>
      <c r="J99" s="4">
        <v>4</v>
      </c>
      <c r="K99" s="2" t="str">
        <f t="shared" si="1"/>
        <v>resp-correct</v>
      </c>
      <c r="L99" s="2" t="s">
        <v>50</v>
      </c>
    </row>
    <row r="100" spans="1:12" x14ac:dyDescent="0.2">
      <c r="A100" s="2" t="s">
        <v>5</v>
      </c>
      <c r="B100" s="2" t="s">
        <v>163</v>
      </c>
      <c r="C100" s="2" t="s">
        <v>7</v>
      </c>
      <c r="D100" s="2" t="s">
        <v>959</v>
      </c>
      <c r="E100" s="2">
        <v>1</v>
      </c>
      <c r="F100" s="3">
        <v>7</v>
      </c>
      <c r="G100" s="2">
        <v>7</v>
      </c>
      <c r="H100" s="8">
        <v>4</v>
      </c>
      <c r="J100" s="4">
        <v>1</v>
      </c>
      <c r="K100" s="2" t="str">
        <f t="shared" si="1"/>
        <v>resp-inc</v>
      </c>
      <c r="L100" s="2" t="s">
        <v>53</v>
      </c>
    </row>
    <row r="101" spans="1:12" x14ac:dyDescent="0.2">
      <c r="A101" s="2" t="s">
        <v>5</v>
      </c>
      <c r="B101" s="2" t="s">
        <v>163</v>
      </c>
      <c r="C101" s="2" t="s">
        <v>8</v>
      </c>
      <c r="D101" s="2" t="s">
        <v>960</v>
      </c>
      <c r="E101" s="2">
        <v>2</v>
      </c>
      <c r="F101" s="3">
        <v>1</v>
      </c>
      <c r="G101" s="2">
        <v>8</v>
      </c>
      <c r="H101" s="8">
        <v>4</v>
      </c>
      <c r="J101" s="4">
        <v>2</v>
      </c>
      <c r="K101" s="2" t="str">
        <f t="shared" si="1"/>
        <v>resp-inc</v>
      </c>
      <c r="L101" s="2" t="s">
        <v>45</v>
      </c>
    </row>
    <row r="102" spans="1:12" x14ac:dyDescent="0.2">
      <c r="A102" s="2" t="s">
        <v>5</v>
      </c>
      <c r="B102" s="2" t="s">
        <v>163</v>
      </c>
      <c r="C102" s="2" t="s">
        <v>8</v>
      </c>
      <c r="D102" s="2" t="s">
        <v>961</v>
      </c>
      <c r="E102" s="2">
        <v>2</v>
      </c>
      <c r="F102" s="3">
        <v>2</v>
      </c>
      <c r="G102" s="2">
        <v>9</v>
      </c>
      <c r="H102" s="8">
        <v>4</v>
      </c>
      <c r="J102" s="4">
        <v>4</v>
      </c>
      <c r="K102" s="2" t="str">
        <f t="shared" si="1"/>
        <v>resp-correct</v>
      </c>
      <c r="L102" s="2" t="s">
        <v>45</v>
      </c>
    </row>
    <row r="103" spans="1:12" x14ac:dyDescent="0.2">
      <c r="A103" s="2" t="s">
        <v>5</v>
      </c>
      <c r="B103" s="2" t="s">
        <v>163</v>
      </c>
      <c r="C103" s="2" t="s">
        <v>8</v>
      </c>
      <c r="D103" s="2" t="s">
        <v>962</v>
      </c>
      <c r="E103" s="2">
        <v>2</v>
      </c>
      <c r="F103" s="3">
        <v>3</v>
      </c>
      <c r="G103" s="2">
        <v>10</v>
      </c>
      <c r="H103" s="8">
        <v>4</v>
      </c>
      <c r="J103" s="4">
        <v>3</v>
      </c>
      <c r="K103" s="2" t="str">
        <f t="shared" si="1"/>
        <v>resp-inc</v>
      </c>
      <c r="L103" s="2" t="s">
        <v>45</v>
      </c>
    </row>
    <row r="104" spans="1:12" x14ac:dyDescent="0.2">
      <c r="A104" s="2" t="s">
        <v>5</v>
      </c>
      <c r="B104" s="2" t="s">
        <v>163</v>
      </c>
      <c r="C104" s="2" t="s">
        <v>8</v>
      </c>
      <c r="D104" s="2" t="s">
        <v>963</v>
      </c>
      <c r="E104" s="2">
        <v>2</v>
      </c>
      <c r="F104" s="3">
        <v>4</v>
      </c>
      <c r="G104" s="2">
        <v>11</v>
      </c>
      <c r="H104" s="8">
        <v>1</v>
      </c>
      <c r="J104" s="4">
        <v>4</v>
      </c>
      <c r="K104" s="2" t="str">
        <f t="shared" si="1"/>
        <v>resp-inc</v>
      </c>
      <c r="L104" s="2" t="s">
        <v>45</v>
      </c>
    </row>
    <row r="105" spans="1:12" x14ac:dyDescent="0.2">
      <c r="A105" s="2" t="s">
        <v>5</v>
      </c>
      <c r="B105" s="2" t="s">
        <v>163</v>
      </c>
      <c r="C105" s="2" t="s">
        <v>8</v>
      </c>
      <c r="D105" s="2" t="s">
        <v>964</v>
      </c>
      <c r="E105" s="2">
        <v>2</v>
      </c>
      <c r="F105" s="3">
        <v>5</v>
      </c>
      <c r="G105" s="2">
        <v>12</v>
      </c>
      <c r="H105" s="8">
        <v>1</v>
      </c>
      <c r="J105" s="4">
        <v>3</v>
      </c>
      <c r="K105" s="2" t="str">
        <f t="shared" si="1"/>
        <v>resp-inc</v>
      </c>
      <c r="L105" s="2" t="s">
        <v>45</v>
      </c>
    </row>
    <row r="106" spans="1:12" x14ac:dyDescent="0.2">
      <c r="A106" s="2" t="s">
        <v>5</v>
      </c>
      <c r="B106" s="2" t="s">
        <v>163</v>
      </c>
      <c r="C106" s="2" t="s">
        <v>6</v>
      </c>
      <c r="D106" s="2" t="s">
        <v>965</v>
      </c>
      <c r="E106" s="2">
        <v>3</v>
      </c>
      <c r="F106" s="3">
        <v>1</v>
      </c>
      <c r="G106" s="2">
        <v>13</v>
      </c>
      <c r="H106" s="8">
        <v>1</v>
      </c>
      <c r="J106" s="4">
        <v>2</v>
      </c>
      <c r="K106" s="2" t="str">
        <f t="shared" si="1"/>
        <v>resp-inc</v>
      </c>
      <c r="L106" s="2" t="s">
        <v>136</v>
      </c>
    </row>
    <row r="107" spans="1:12" x14ac:dyDescent="0.2">
      <c r="A107" s="2" t="s">
        <v>5</v>
      </c>
      <c r="B107" s="2" t="s">
        <v>163</v>
      </c>
      <c r="C107" s="2" t="s">
        <v>6</v>
      </c>
      <c r="D107" s="2" t="s">
        <v>966</v>
      </c>
      <c r="E107" s="2">
        <v>3</v>
      </c>
      <c r="F107" s="3">
        <v>2</v>
      </c>
      <c r="G107" s="2">
        <v>14</v>
      </c>
      <c r="H107" s="8">
        <v>1</v>
      </c>
      <c r="J107" s="4">
        <v>2</v>
      </c>
      <c r="K107" s="2" t="str">
        <f t="shared" si="1"/>
        <v>resp-inc</v>
      </c>
      <c r="L107" s="2" t="s">
        <v>54</v>
      </c>
    </row>
    <row r="108" spans="1:12" x14ac:dyDescent="0.2">
      <c r="A108" s="2" t="s">
        <v>5</v>
      </c>
      <c r="B108" s="2" t="s">
        <v>163</v>
      </c>
      <c r="C108" s="2" t="s">
        <v>6</v>
      </c>
      <c r="D108" s="2" t="s">
        <v>967</v>
      </c>
      <c r="E108" s="2">
        <v>3</v>
      </c>
      <c r="F108" s="3">
        <v>3</v>
      </c>
      <c r="G108" s="2">
        <v>15</v>
      </c>
      <c r="H108" s="8">
        <v>2</v>
      </c>
      <c r="J108" s="4">
        <v>1</v>
      </c>
      <c r="K108" s="2" t="str">
        <f t="shared" si="1"/>
        <v>resp-inc</v>
      </c>
      <c r="L108" s="2" t="s">
        <v>54</v>
      </c>
    </row>
    <row r="109" spans="1:12" x14ac:dyDescent="0.2">
      <c r="A109" s="2" t="s">
        <v>5</v>
      </c>
      <c r="B109" s="2" t="s">
        <v>163</v>
      </c>
      <c r="C109" s="2" t="s">
        <v>6</v>
      </c>
      <c r="D109" s="2" t="s">
        <v>968</v>
      </c>
      <c r="E109" s="2">
        <v>3</v>
      </c>
      <c r="F109" s="3">
        <v>4</v>
      </c>
      <c r="G109" s="2">
        <v>16</v>
      </c>
      <c r="H109" s="8">
        <v>2</v>
      </c>
      <c r="J109" s="4">
        <v>2</v>
      </c>
      <c r="K109" s="2" t="str">
        <f t="shared" si="1"/>
        <v>resp-correct</v>
      </c>
      <c r="L109" s="2" t="s">
        <v>45</v>
      </c>
    </row>
    <row r="110" spans="1:12" x14ac:dyDescent="0.2">
      <c r="A110" s="2" t="s">
        <v>5</v>
      </c>
      <c r="B110" s="2" t="s">
        <v>163</v>
      </c>
      <c r="C110" s="2" t="s">
        <v>9</v>
      </c>
      <c r="D110" s="2" t="s">
        <v>969</v>
      </c>
      <c r="E110" s="2">
        <v>4</v>
      </c>
      <c r="F110" s="3">
        <v>1</v>
      </c>
      <c r="G110" s="2">
        <v>17</v>
      </c>
      <c r="H110" s="8">
        <v>2</v>
      </c>
      <c r="J110" s="4">
        <v>3</v>
      </c>
      <c r="K110" s="2" t="str">
        <f t="shared" si="1"/>
        <v>resp-inc</v>
      </c>
      <c r="L110" s="2" t="s">
        <v>136</v>
      </c>
    </row>
    <row r="111" spans="1:12" x14ac:dyDescent="0.2">
      <c r="A111" s="2" t="s">
        <v>5</v>
      </c>
      <c r="B111" s="2" t="s">
        <v>163</v>
      </c>
      <c r="C111" s="2" t="s">
        <v>9</v>
      </c>
      <c r="D111" s="2" t="s">
        <v>970</v>
      </c>
      <c r="E111" s="2">
        <v>4</v>
      </c>
      <c r="F111" s="3">
        <v>2</v>
      </c>
      <c r="G111" s="2">
        <v>18</v>
      </c>
      <c r="H111" s="8">
        <v>2</v>
      </c>
      <c r="J111" s="4">
        <v>1</v>
      </c>
      <c r="K111" s="2" t="str">
        <f t="shared" si="1"/>
        <v>resp-inc</v>
      </c>
      <c r="L111" s="2" t="s">
        <v>136</v>
      </c>
    </row>
    <row r="112" spans="1:12" x14ac:dyDescent="0.2">
      <c r="A112" s="2" t="s">
        <v>5</v>
      </c>
      <c r="B112" s="2" t="s">
        <v>163</v>
      </c>
      <c r="C112" s="2" t="s">
        <v>9</v>
      </c>
      <c r="D112" s="2" t="s">
        <v>971</v>
      </c>
      <c r="E112" s="2">
        <v>4</v>
      </c>
      <c r="F112" s="3">
        <v>3</v>
      </c>
      <c r="G112" s="2">
        <v>19</v>
      </c>
      <c r="H112" s="8">
        <v>2</v>
      </c>
      <c r="J112" s="4">
        <v>1</v>
      </c>
      <c r="K112" s="2" t="str">
        <f t="shared" si="1"/>
        <v>resp-inc</v>
      </c>
      <c r="L112" s="2" t="s">
        <v>44</v>
      </c>
    </row>
    <row r="113" spans="1:12" x14ac:dyDescent="0.2">
      <c r="A113" s="2" t="s">
        <v>5</v>
      </c>
      <c r="B113" s="2" t="s">
        <v>163</v>
      </c>
      <c r="C113" s="2" t="s">
        <v>9</v>
      </c>
      <c r="D113" s="2" t="s">
        <v>972</v>
      </c>
      <c r="E113" s="2">
        <v>4</v>
      </c>
      <c r="F113" s="3">
        <v>4</v>
      </c>
      <c r="G113" s="2">
        <v>20</v>
      </c>
      <c r="H113" s="8">
        <v>1</v>
      </c>
      <c r="J113" s="4">
        <v>3</v>
      </c>
      <c r="K113" s="2" t="str">
        <f t="shared" si="1"/>
        <v>resp-inc</v>
      </c>
      <c r="L113" s="2" t="s">
        <v>136</v>
      </c>
    </row>
    <row r="114" spans="1:12" x14ac:dyDescent="0.2">
      <c r="A114" s="2" t="s">
        <v>5</v>
      </c>
      <c r="B114" s="2" t="s">
        <v>163</v>
      </c>
      <c r="C114" s="2" t="s">
        <v>9</v>
      </c>
      <c r="D114" s="2" t="s">
        <v>973</v>
      </c>
      <c r="E114" s="2">
        <v>4</v>
      </c>
      <c r="F114" s="3">
        <v>5</v>
      </c>
      <c r="G114" s="2">
        <v>21</v>
      </c>
      <c r="H114" s="8">
        <v>2</v>
      </c>
      <c r="J114" s="4">
        <v>4</v>
      </c>
      <c r="K114" s="2" t="str">
        <f t="shared" si="1"/>
        <v>resp-inc</v>
      </c>
      <c r="L114" s="2" t="s">
        <v>136</v>
      </c>
    </row>
    <row r="115" spans="1:12" x14ac:dyDescent="0.2">
      <c r="A115" s="2" t="s">
        <v>5</v>
      </c>
      <c r="B115" s="2" t="s">
        <v>163</v>
      </c>
      <c r="C115" s="2" t="s">
        <v>10</v>
      </c>
      <c r="D115" s="2" t="s">
        <v>974</v>
      </c>
      <c r="E115" s="2">
        <v>5</v>
      </c>
      <c r="F115" s="3">
        <v>1</v>
      </c>
      <c r="G115" s="2">
        <v>22</v>
      </c>
      <c r="H115" s="8">
        <v>1</v>
      </c>
      <c r="J115" s="4">
        <v>3</v>
      </c>
      <c r="K115" s="2" t="str">
        <f t="shared" si="1"/>
        <v>resp-inc</v>
      </c>
      <c r="L115" s="2" t="s">
        <v>48</v>
      </c>
    </row>
    <row r="116" spans="1:12" x14ac:dyDescent="0.2">
      <c r="A116" s="2" t="s">
        <v>5</v>
      </c>
      <c r="B116" s="2" t="s">
        <v>163</v>
      </c>
      <c r="C116" s="2" t="s">
        <v>10</v>
      </c>
      <c r="D116" s="2" t="s">
        <v>975</v>
      </c>
      <c r="E116" s="2">
        <v>5</v>
      </c>
      <c r="F116" s="3">
        <v>2</v>
      </c>
      <c r="G116" s="2">
        <v>23</v>
      </c>
      <c r="H116" s="8">
        <v>1</v>
      </c>
      <c r="J116" s="4">
        <v>2</v>
      </c>
      <c r="K116" s="2" t="str">
        <f t="shared" si="1"/>
        <v>resp-inc</v>
      </c>
      <c r="L116" s="2" t="s">
        <v>137</v>
      </c>
    </row>
    <row r="117" spans="1:12" x14ac:dyDescent="0.2">
      <c r="A117" s="2" t="s">
        <v>5</v>
      </c>
      <c r="B117" s="2" t="s">
        <v>163</v>
      </c>
      <c r="C117" s="2" t="s">
        <v>10</v>
      </c>
      <c r="D117" s="2" t="s">
        <v>976</v>
      </c>
      <c r="E117" s="2">
        <v>5</v>
      </c>
      <c r="F117" s="3">
        <v>3</v>
      </c>
      <c r="G117" s="2">
        <v>24</v>
      </c>
      <c r="H117" s="8">
        <v>2</v>
      </c>
      <c r="J117" s="4">
        <v>2</v>
      </c>
      <c r="K117" s="2" t="str">
        <f t="shared" si="1"/>
        <v>resp-correct</v>
      </c>
      <c r="L117" s="2" t="s">
        <v>137</v>
      </c>
    </row>
    <row r="118" spans="1:12" x14ac:dyDescent="0.2">
      <c r="A118" s="2" t="s">
        <v>5</v>
      </c>
      <c r="B118" s="2" t="s">
        <v>163</v>
      </c>
      <c r="C118" s="2" t="s">
        <v>10</v>
      </c>
      <c r="D118" s="2" t="s">
        <v>977</v>
      </c>
      <c r="E118" s="2">
        <v>5</v>
      </c>
      <c r="F118" s="3">
        <v>4</v>
      </c>
      <c r="G118" s="2">
        <v>25</v>
      </c>
      <c r="H118" s="8">
        <v>2</v>
      </c>
      <c r="J118" s="4">
        <v>1</v>
      </c>
      <c r="K118" s="2" t="str">
        <f t="shared" si="1"/>
        <v>resp-inc</v>
      </c>
      <c r="L118" s="2" t="s">
        <v>47</v>
      </c>
    </row>
    <row r="119" spans="1:12" x14ac:dyDescent="0.2">
      <c r="A119" s="2" t="s">
        <v>5</v>
      </c>
      <c r="B119" s="2" t="s">
        <v>163</v>
      </c>
      <c r="C119" s="2" t="s">
        <v>10</v>
      </c>
      <c r="D119" s="2" t="s">
        <v>978</v>
      </c>
      <c r="E119" s="2">
        <v>5</v>
      </c>
      <c r="F119" s="3">
        <v>5</v>
      </c>
      <c r="G119" s="2">
        <v>26</v>
      </c>
      <c r="H119" s="8">
        <v>2</v>
      </c>
      <c r="J119" s="4">
        <v>2</v>
      </c>
      <c r="K119" s="2" t="str">
        <f t="shared" si="1"/>
        <v>resp-correct</v>
      </c>
      <c r="L119" s="2" t="s">
        <v>52</v>
      </c>
    </row>
    <row r="120" spans="1:12" x14ac:dyDescent="0.2">
      <c r="A120" s="2" t="s">
        <v>5</v>
      </c>
      <c r="B120" s="2" t="s">
        <v>163</v>
      </c>
      <c r="C120" s="2" t="s">
        <v>10</v>
      </c>
      <c r="D120" s="2" t="s">
        <v>979</v>
      </c>
      <c r="E120" s="2">
        <v>5</v>
      </c>
      <c r="F120" s="3">
        <v>6</v>
      </c>
      <c r="G120" s="2">
        <v>27</v>
      </c>
      <c r="H120" s="8">
        <v>2</v>
      </c>
      <c r="J120" s="4">
        <v>4</v>
      </c>
      <c r="K120" s="2" t="str">
        <f t="shared" si="1"/>
        <v>resp-inc</v>
      </c>
      <c r="L120" s="2" t="s">
        <v>137</v>
      </c>
    </row>
    <row r="121" spans="1:12" x14ac:dyDescent="0.2">
      <c r="A121" s="2" t="s">
        <v>5</v>
      </c>
      <c r="B121" s="2" t="s">
        <v>163</v>
      </c>
      <c r="C121" s="2" t="s">
        <v>10</v>
      </c>
      <c r="D121" s="2" t="s">
        <v>980</v>
      </c>
      <c r="E121" s="2">
        <v>5</v>
      </c>
      <c r="F121" s="3">
        <v>7</v>
      </c>
      <c r="G121" s="2">
        <v>28</v>
      </c>
      <c r="H121" s="8">
        <v>2</v>
      </c>
      <c r="J121" s="4">
        <v>3</v>
      </c>
      <c r="K121" s="2" t="str">
        <f t="shared" si="1"/>
        <v>resp-inc</v>
      </c>
      <c r="L121" s="2" t="s">
        <v>137</v>
      </c>
    </row>
    <row r="122" spans="1:12" x14ac:dyDescent="0.2">
      <c r="A122" s="2" t="s">
        <v>5</v>
      </c>
      <c r="B122" s="2" t="s">
        <v>163</v>
      </c>
      <c r="C122" s="2" t="s">
        <v>6</v>
      </c>
      <c r="D122" s="2" t="s">
        <v>981</v>
      </c>
      <c r="E122" s="2">
        <v>6</v>
      </c>
      <c r="F122" s="3">
        <v>1</v>
      </c>
      <c r="G122" s="2">
        <v>29</v>
      </c>
      <c r="H122" s="8">
        <v>2</v>
      </c>
      <c r="J122" s="4">
        <v>2</v>
      </c>
      <c r="K122" s="2" t="str">
        <f t="shared" si="1"/>
        <v>resp-correct</v>
      </c>
      <c r="L122" s="2" t="s">
        <v>51</v>
      </c>
    </row>
    <row r="123" spans="1:12" x14ac:dyDescent="0.2">
      <c r="A123" s="2" t="s">
        <v>5</v>
      </c>
      <c r="B123" s="2" t="s">
        <v>163</v>
      </c>
      <c r="C123" s="2" t="s">
        <v>6</v>
      </c>
      <c r="D123" s="2" t="s">
        <v>982</v>
      </c>
      <c r="E123" s="2">
        <v>6</v>
      </c>
      <c r="F123" s="3">
        <v>2</v>
      </c>
      <c r="G123" s="2">
        <v>30</v>
      </c>
      <c r="H123" s="8">
        <v>3</v>
      </c>
      <c r="J123" s="4">
        <v>1</v>
      </c>
      <c r="K123" s="2" t="str">
        <f t="shared" si="1"/>
        <v>resp-inc</v>
      </c>
      <c r="L123" s="2" t="s">
        <v>46</v>
      </c>
    </row>
    <row r="124" spans="1:12" x14ac:dyDescent="0.2">
      <c r="A124" s="2" t="s">
        <v>5</v>
      </c>
      <c r="B124" s="2" t="s">
        <v>163</v>
      </c>
      <c r="C124" s="2" t="s">
        <v>6</v>
      </c>
      <c r="D124" s="2" t="s">
        <v>983</v>
      </c>
      <c r="E124" s="2">
        <v>6</v>
      </c>
      <c r="F124" s="3">
        <v>3</v>
      </c>
      <c r="G124" s="2">
        <v>31</v>
      </c>
      <c r="H124" s="8">
        <v>3</v>
      </c>
      <c r="J124" s="4">
        <v>2</v>
      </c>
      <c r="K124" s="2" t="str">
        <f t="shared" si="1"/>
        <v>resp-inc</v>
      </c>
      <c r="L124" s="2" t="s">
        <v>136</v>
      </c>
    </row>
    <row r="125" spans="1:12" x14ac:dyDescent="0.2">
      <c r="A125" s="2" t="s">
        <v>5</v>
      </c>
      <c r="B125" s="2" t="s">
        <v>163</v>
      </c>
      <c r="C125" s="2" t="s">
        <v>6</v>
      </c>
      <c r="D125" s="2" t="s">
        <v>984</v>
      </c>
      <c r="E125" s="2">
        <v>6</v>
      </c>
      <c r="F125" s="3">
        <v>4</v>
      </c>
      <c r="G125" s="2">
        <v>32</v>
      </c>
      <c r="H125" s="8">
        <v>3</v>
      </c>
      <c r="J125" s="4">
        <v>4</v>
      </c>
      <c r="K125" s="2" t="str">
        <f t="shared" si="1"/>
        <v>resp-inc</v>
      </c>
      <c r="L125" s="2" t="s">
        <v>46</v>
      </c>
    </row>
    <row r="126" spans="1:12" x14ac:dyDescent="0.2">
      <c r="A126" s="2" t="s">
        <v>5</v>
      </c>
      <c r="B126" s="2" t="s">
        <v>163</v>
      </c>
      <c r="C126" s="2" t="s">
        <v>11</v>
      </c>
      <c r="D126" s="2" t="s">
        <v>985</v>
      </c>
      <c r="E126" s="2">
        <v>7</v>
      </c>
      <c r="F126" s="3">
        <v>1</v>
      </c>
      <c r="G126" s="2">
        <v>33</v>
      </c>
      <c r="H126" s="8">
        <v>3</v>
      </c>
      <c r="J126" s="4">
        <v>3</v>
      </c>
      <c r="K126" s="2" t="str">
        <f t="shared" si="1"/>
        <v>resp-correct</v>
      </c>
      <c r="L126" s="2" t="s">
        <v>136</v>
      </c>
    </row>
    <row r="127" spans="1:12" x14ac:dyDescent="0.2">
      <c r="A127" s="2" t="s">
        <v>5</v>
      </c>
      <c r="B127" s="2" t="s">
        <v>163</v>
      </c>
      <c r="C127" s="2" t="s">
        <v>11</v>
      </c>
      <c r="D127" s="2" t="s">
        <v>986</v>
      </c>
      <c r="E127" s="2">
        <v>7</v>
      </c>
      <c r="F127" s="3">
        <v>2</v>
      </c>
      <c r="G127" s="2">
        <v>34</v>
      </c>
      <c r="H127" s="8">
        <v>3</v>
      </c>
      <c r="J127" s="4">
        <v>4</v>
      </c>
      <c r="K127" s="2" t="str">
        <f t="shared" si="1"/>
        <v>resp-inc</v>
      </c>
      <c r="L127" s="2" t="s">
        <v>43</v>
      </c>
    </row>
    <row r="128" spans="1:12" x14ac:dyDescent="0.2">
      <c r="A128" s="2" t="s">
        <v>5</v>
      </c>
      <c r="B128" s="2" t="s">
        <v>163</v>
      </c>
      <c r="C128" s="2" t="s">
        <v>11</v>
      </c>
      <c r="D128" s="2" t="s">
        <v>987</v>
      </c>
      <c r="E128" s="2">
        <v>7</v>
      </c>
      <c r="F128" s="3">
        <v>3</v>
      </c>
      <c r="G128" s="2">
        <v>35</v>
      </c>
      <c r="H128" s="8">
        <v>3</v>
      </c>
      <c r="J128" s="4">
        <v>2</v>
      </c>
      <c r="K128" s="2" t="str">
        <f t="shared" si="1"/>
        <v>resp-inc</v>
      </c>
      <c r="L128" s="2" t="s">
        <v>136</v>
      </c>
    </row>
    <row r="129" spans="1:12" x14ac:dyDescent="0.2">
      <c r="A129" s="2" t="s">
        <v>5</v>
      </c>
      <c r="B129" s="2" t="s">
        <v>163</v>
      </c>
      <c r="C129" s="2" t="s">
        <v>11</v>
      </c>
      <c r="D129" s="2" t="s">
        <v>988</v>
      </c>
      <c r="E129" s="2">
        <v>7</v>
      </c>
      <c r="F129" s="3">
        <v>4</v>
      </c>
      <c r="G129" s="2">
        <v>36</v>
      </c>
      <c r="H129" s="8">
        <v>4</v>
      </c>
      <c r="J129" s="4">
        <v>3</v>
      </c>
      <c r="K129" s="2" t="str">
        <f t="shared" si="1"/>
        <v>resp-inc</v>
      </c>
      <c r="L129" s="2" t="s">
        <v>136</v>
      </c>
    </row>
    <row r="130" spans="1:12" x14ac:dyDescent="0.2">
      <c r="A130" s="2" t="s">
        <v>5</v>
      </c>
      <c r="B130" s="2" t="s">
        <v>163</v>
      </c>
      <c r="C130" s="2" t="s">
        <v>11</v>
      </c>
      <c r="D130" s="2" t="s">
        <v>989</v>
      </c>
      <c r="E130" s="2">
        <v>7</v>
      </c>
      <c r="F130" s="3">
        <v>5</v>
      </c>
      <c r="G130" s="2">
        <v>37</v>
      </c>
      <c r="H130" s="8">
        <v>4</v>
      </c>
      <c r="J130" s="4">
        <v>1</v>
      </c>
      <c r="K130" s="2" t="str">
        <f t="shared" si="1"/>
        <v>resp-inc</v>
      </c>
      <c r="L130" s="2" t="s">
        <v>136</v>
      </c>
    </row>
    <row r="131" spans="1:12" x14ac:dyDescent="0.2">
      <c r="A131" s="2" t="s">
        <v>5</v>
      </c>
      <c r="B131" s="2" t="s">
        <v>163</v>
      </c>
      <c r="C131" s="2" t="s">
        <v>11</v>
      </c>
      <c r="D131" s="2" t="s">
        <v>990</v>
      </c>
      <c r="E131" s="2">
        <v>7</v>
      </c>
      <c r="F131" s="3">
        <v>6</v>
      </c>
      <c r="G131" s="2">
        <v>38</v>
      </c>
      <c r="H131" s="8">
        <v>4</v>
      </c>
      <c r="J131" s="4">
        <v>2</v>
      </c>
      <c r="K131" s="2" t="str">
        <f t="shared" si="1"/>
        <v>resp-inc</v>
      </c>
      <c r="L131" s="2" t="s">
        <v>136</v>
      </c>
    </row>
    <row r="132" spans="1:12" x14ac:dyDescent="0.2">
      <c r="A132" s="2" t="s">
        <v>5</v>
      </c>
      <c r="B132" s="2" t="s">
        <v>163</v>
      </c>
      <c r="C132" s="2" t="s">
        <v>12</v>
      </c>
      <c r="D132" s="2" t="s">
        <v>991</v>
      </c>
      <c r="E132" s="2">
        <v>8</v>
      </c>
      <c r="F132" s="3">
        <v>1</v>
      </c>
      <c r="G132" s="2">
        <v>39</v>
      </c>
      <c r="H132" s="8">
        <v>4</v>
      </c>
      <c r="J132" s="4">
        <v>2</v>
      </c>
      <c r="K132" s="2" t="str">
        <f t="shared" si="1"/>
        <v>resp-inc</v>
      </c>
      <c r="L132" s="2" t="s">
        <v>50</v>
      </c>
    </row>
    <row r="133" spans="1:12" x14ac:dyDescent="0.2">
      <c r="A133" s="2" t="s">
        <v>5</v>
      </c>
      <c r="B133" s="2" t="s">
        <v>163</v>
      </c>
      <c r="C133" s="2" t="s">
        <v>12</v>
      </c>
      <c r="D133" s="2" t="s">
        <v>992</v>
      </c>
      <c r="E133" s="2">
        <v>8</v>
      </c>
      <c r="F133" s="3">
        <v>2</v>
      </c>
      <c r="G133" s="2">
        <v>40</v>
      </c>
      <c r="H133" s="8">
        <v>3</v>
      </c>
      <c r="J133" s="4">
        <v>4</v>
      </c>
      <c r="K133" s="2" t="str">
        <f t="shared" si="1"/>
        <v>resp-inc</v>
      </c>
      <c r="L133" s="2" t="s">
        <v>49</v>
      </c>
    </row>
    <row r="134" spans="1:12" x14ac:dyDescent="0.2">
      <c r="A134" s="2" t="s">
        <v>5</v>
      </c>
      <c r="B134" s="2" t="s">
        <v>163</v>
      </c>
      <c r="C134" s="2" t="s">
        <v>12</v>
      </c>
      <c r="D134" s="2" t="s">
        <v>993</v>
      </c>
      <c r="E134" s="2">
        <v>8</v>
      </c>
      <c r="F134" s="3">
        <v>3</v>
      </c>
      <c r="G134" s="2">
        <v>41</v>
      </c>
      <c r="H134" s="8">
        <v>3</v>
      </c>
      <c r="J134" s="4">
        <v>2</v>
      </c>
      <c r="K134" s="2" t="str">
        <f t="shared" si="1"/>
        <v>resp-inc</v>
      </c>
      <c r="L134" s="2" t="s">
        <v>50</v>
      </c>
    </row>
    <row r="135" spans="1:12" x14ac:dyDescent="0.2">
      <c r="A135" s="2" t="s">
        <v>5</v>
      </c>
      <c r="B135" s="2" t="s">
        <v>163</v>
      </c>
      <c r="C135" s="2" t="s">
        <v>12</v>
      </c>
      <c r="D135" s="2" t="s">
        <v>994</v>
      </c>
      <c r="E135" s="2">
        <v>8</v>
      </c>
      <c r="F135" s="3">
        <v>4</v>
      </c>
      <c r="G135" s="2">
        <v>42</v>
      </c>
      <c r="H135" s="8">
        <v>3</v>
      </c>
      <c r="J135" s="4">
        <v>3</v>
      </c>
      <c r="K135" s="2" t="str">
        <f t="shared" si="1"/>
        <v>resp-correct</v>
      </c>
      <c r="L135" s="2" t="s">
        <v>49</v>
      </c>
    </row>
    <row r="136" spans="1:12" x14ac:dyDescent="0.2">
      <c r="A136" s="2" t="s">
        <v>5</v>
      </c>
      <c r="B136" s="2" t="s">
        <v>163</v>
      </c>
      <c r="C136" s="2" t="s">
        <v>12</v>
      </c>
      <c r="D136" s="2" t="s">
        <v>995</v>
      </c>
      <c r="E136" s="2">
        <v>8</v>
      </c>
      <c r="F136" s="3">
        <v>5</v>
      </c>
      <c r="G136" s="2">
        <v>43</v>
      </c>
      <c r="H136" s="8">
        <v>3</v>
      </c>
      <c r="J136" s="4">
        <v>4</v>
      </c>
      <c r="K136" s="2" t="str">
        <f t="shared" si="1"/>
        <v>resp-inc</v>
      </c>
      <c r="L136" s="2" t="s">
        <v>138</v>
      </c>
    </row>
    <row r="137" spans="1:12" x14ac:dyDescent="0.2">
      <c r="A137" s="2" t="s">
        <v>5</v>
      </c>
      <c r="B137" s="2" t="s">
        <v>163</v>
      </c>
      <c r="C137" s="2" t="s">
        <v>89</v>
      </c>
      <c r="D137" s="2" t="s">
        <v>996</v>
      </c>
      <c r="E137" s="2">
        <v>9</v>
      </c>
      <c r="F137" s="3">
        <v>1</v>
      </c>
      <c r="G137" s="2">
        <v>44</v>
      </c>
      <c r="H137" s="8">
        <v>3</v>
      </c>
      <c r="J137" s="4">
        <v>1</v>
      </c>
      <c r="K137" s="2" t="str">
        <f t="shared" si="1"/>
        <v>resp-inc</v>
      </c>
      <c r="L137" s="2" t="s">
        <v>136</v>
      </c>
    </row>
    <row r="138" spans="1:12" x14ac:dyDescent="0.2">
      <c r="A138" s="2" t="s">
        <v>5</v>
      </c>
      <c r="B138" s="2" t="s">
        <v>163</v>
      </c>
      <c r="C138" s="2" t="s">
        <v>89</v>
      </c>
      <c r="D138" s="2" t="s">
        <v>997</v>
      </c>
      <c r="E138" s="2">
        <v>9</v>
      </c>
      <c r="F138" s="3">
        <v>2</v>
      </c>
      <c r="G138" s="2">
        <v>45</v>
      </c>
      <c r="H138" s="8">
        <v>3</v>
      </c>
      <c r="J138" s="4">
        <v>2</v>
      </c>
      <c r="K138" s="2" t="str">
        <f t="shared" si="1"/>
        <v>resp-inc</v>
      </c>
      <c r="L138" s="2" t="s">
        <v>136</v>
      </c>
    </row>
    <row r="139" spans="1:12" x14ac:dyDescent="0.2">
      <c r="A139" s="2" t="s">
        <v>5</v>
      </c>
      <c r="B139" s="2" t="s">
        <v>163</v>
      </c>
      <c r="C139" s="2" t="s">
        <v>89</v>
      </c>
      <c r="D139" s="2" t="s">
        <v>998</v>
      </c>
      <c r="E139" s="2">
        <v>9</v>
      </c>
      <c r="F139" s="3">
        <v>3</v>
      </c>
      <c r="G139" s="2">
        <v>46</v>
      </c>
      <c r="H139" s="8">
        <v>4</v>
      </c>
      <c r="J139" s="4">
        <v>1</v>
      </c>
      <c r="K139" s="2" t="str">
        <f t="shared" si="1"/>
        <v>resp-inc</v>
      </c>
      <c r="L139" s="2" t="s">
        <v>43</v>
      </c>
    </row>
    <row r="140" spans="1:12" x14ac:dyDescent="0.2">
      <c r="A140" s="2" t="s">
        <v>5</v>
      </c>
      <c r="B140" s="2" t="s">
        <v>163</v>
      </c>
      <c r="C140" s="2" t="s">
        <v>89</v>
      </c>
      <c r="D140" s="2" t="s">
        <v>999</v>
      </c>
      <c r="E140" s="2">
        <v>9</v>
      </c>
      <c r="F140" s="3">
        <v>4</v>
      </c>
      <c r="G140" s="2">
        <v>47</v>
      </c>
      <c r="H140" s="8">
        <v>4</v>
      </c>
      <c r="J140" s="4">
        <v>2</v>
      </c>
      <c r="K140" s="2" t="str">
        <f t="shared" si="1"/>
        <v>resp-inc</v>
      </c>
      <c r="L140" s="2" t="s">
        <v>136</v>
      </c>
    </row>
    <row r="141" spans="1:12" x14ac:dyDescent="0.2">
      <c r="A141" s="2" t="s">
        <v>5</v>
      </c>
      <c r="B141" s="2" t="s">
        <v>163</v>
      </c>
      <c r="C141" s="2" t="s">
        <v>6</v>
      </c>
      <c r="D141" s="2" t="s">
        <v>1000</v>
      </c>
      <c r="E141" s="2">
        <v>10</v>
      </c>
      <c r="F141" s="3">
        <v>1</v>
      </c>
      <c r="G141" s="2">
        <v>48</v>
      </c>
      <c r="H141" s="8">
        <v>4</v>
      </c>
      <c r="J141" s="4">
        <v>2</v>
      </c>
      <c r="K141" s="2" t="str">
        <f t="shared" si="1"/>
        <v>resp-inc</v>
      </c>
      <c r="L141" s="2" t="s">
        <v>136</v>
      </c>
    </row>
    <row r="142" spans="1:12" x14ac:dyDescent="0.2">
      <c r="A142" s="2" t="s">
        <v>5</v>
      </c>
      <c r="B142" s="2" t="s">
        <v>163</v>
      </c>
      <c r="C142" s="2" t="s">
        <v>6</v>
      </c>
      <c r="D142" s="2" t="s">
        <v>1001</v>
      </c>
      <c r="E142" s="2">
        <v>10</v>
      </c>
      <c r="F142" s="3">
        <v>2</v>
      </c>
      <c r="G142" s="2">
        <v>49</v>
      </c>
      <c r="H142" s="8">
        <v>4</v>
      </c>
      <c r="J142" s="4">
        <v>2</v>
      </c>
      <c r="K142" s="2" t="str">
        <f t="shared" si="1"/>
        <v>resp-inc</v>
      </c>
      <c r="L142" s="2" t="s">
        <v>43</v>
      </c>
    </row>
    <row r="143" spans="1:12" x14ac:dyDescent="0.2">
      <c r="A143" s="2" t="s">
        <v>5</v>
      </c>
      <c r="B143" s="2" t="s">
        <v>163</v>
      </c>
      <c r="C143" s="2" t="s">
        <v>6</v>
      </c>
      <c r="D143" s="2" t="s">
        <v>1002</v>
      </c>
      <c r="E143" s="2">
        <v>10</v>
      </c>
      <c r="F143" s="3">
        <v>3</v>
      </c>
      <c r="G143" s="2">
        <v>50</v>
      </c>
      <c r="H143" s="8">
        <v>4</v>
      </c>
      <c r="J143" s="4">
        <v>3</v>
      </c>
      <c r="K143" s="2" t="str">
        <f t="shared" ref="K143:K145" si="2">IF(H143=J143,"resp-correct","resp-inc")</f>
        <v>resp-inc</v>
      </c>
      <c r="L143" s="2" t="s">
        <v>53</v>
      </c>
    </row>
    <row r="144" spans="1:12" x14ac:dyDescent="0.2">
      <c r="A144" s="2" t="s">
        <v>5</v>
      </c>
      <c r="B144" s="2" t="s">
        <v>163</v>
      </c>
      <c r="C144" s="2" t="s">
        <v>6</v>
      </c>
      <c r="D144" s="2" t="s">
        <v>1003</v>
      </c>
      <c r="E144" s="2">
        <v>10</v>
      </c>
      <c r="F144" s="3">
        <v>4</v>
      </c>
      <c r="G144" s="2">
        <v>51</v>
      </c>
      <c r="H144" s="8">
        <v>4</v>
      </c>
      <c r="J144" s="4">
        <v>2</v>
      </c>
      <c r="K144" s="2" t="str">
        <f t="shared" si="2"/>
        <v>resp-inc</v>
      </c>
      <c r="L144" s="2" t="s">
        <v>53</v>
      </c>
    </row>
    <row r="145" spans="1:12" x14ac:dyDescent="0.2">
      <c r="A145" s="2" t="s">
        <v>5</v>
      </c>
      <c r="B145" s="2" t="s">
        <v>163</v>
      </c>
      <c r="C145" s="2" t="s">
        <v>6</v>
      </c>
      <c r="D145" s="2" t="s">
        <v>1004</v>
      </c>
      <c r="E145" s="2">
        <v>10</v>
      </c>
      <c r="F145" s="3">
        <v>5</v>
      </c>
      <c r="G145" s="2">
        <v>52</v>
      </c>
      <c r="H145" s="8">
        <v>4</v>
      </c>
      <c r="J145" s="4">
        <v>2</v>
      </c>
      <c r="K145" s="2" t="str">
        <f t="shared" si="2"/>
        <v>resp-inc</v>
      </c>
      <c r="L145" s="2" t="s">
        <v>43</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5"/>
  <sheetViews>
    <sheetView workbookViewId="0">
      <selection activeCell="F22" sqref="F22"/>
    </sheetView>
  </sheetViews>
  <sheetFormatPr defaultColWidth="39" defaultRowHeight="11.25" x14ac:dyDescent="0.2"/>
  <cols>
    <col min="1" max="1" width="9.140625" style="9" bestFit="1" customWidth="1" collapsed="1"/>
    <col min="2" max="2" width="8.42578125" style="9" bestFit="1" customWidth="1" collapsed="1"/>
    <col min="3" max="3" width="255" style="9" bestFit="1" customWidth="1" collapsed="1"/>
    <col min="4" max="4" width="4.5703125" style="9" customWidth="1" collapsed="1"/>
    <col min="5" max="5" width="255" style="9" bestFit="1" customWidth="1" collapsed="1"/>
    <col min="6" max="6" width="138.85546875" style="9" bestFit="1" customWidth="1" collapsed="1"/>
    <col min="7" max="7" width="136.85546875" style="9" bestFit="1" customWidth="1" collapsed="1"/>
    <col min="8" max="8" width="153.28515625" style="9" bestFit="1" customWidth="1" collapsed="1"/>
    <col min="9" max="9" width="137.5703125" style="9" bestFit="1" customWidth="1" collapsed="1"/>
    <col min="10" max="16384" width="39" style="9" collapsed="1"/>
  </cols>
  <sheetData>
    <row r="1" spans="1:10" s="10" customFormat="1" ht="22.5" x14ac:dyDescent="0.2">
      <c r="A1" s="10" t="s">
        <v>2</v>
      </c>
      <c r="B1" s="10" t="s">
        <v>64</v>
      </c>
      <c r="C1" s="10" t="s">
        <v>80</v>
      </c>
      <c r="D1" s="10" t="s">
        <v>0</v>
      </c>
      <c r="E1" s="10" t="s">
        <v>1</v>
      </c>
      <c r="F1" s="10" t="s">
        <v>81</v>
      </c>
      <c r="G1" s="10" t="s">
        <v>82</v>
      </c>
      <c r="H1" s="10" t="s">
        <v>83</v>
      </c>
      <c r="I1" s="10" t="s">
        <v>84</v>
      </c>
      <c r="J1" s="10" t="s">
        <v>85</v>
      </c>
    </row>
    <row r="2" spans="1:10" ht="15" x14ac:dyDescent="0.25">
      <c r="A2" t="s">
        <v>3</v>
      </c>
      <c r="B2" t="s">
        <v>113</v>
      </c>
      <c r="E2" t="s">
        <v>173</v>
      </c>
      <c r="F2" t="s">
        <v>95</v>
      </c>
      <c r="G2" t="s">
        <v>95</v>
      </c>
      <c r="H2" t="s">
        <v>95</v>
      </c>
      <c r="I2" t="s">
        <v>95</v>
      </c>
    </row>
    <row r="3" spans="1:10" ht="15" x14ac:dyDescent="0.25">
      <c r="A3" t="s">
        <v>3</v>
      </c>
      <c r="B3" t="s">
        <v>114</v>
      </c>
      <c r="E3" t="s">
        <v>174</v>
      </c>
      <c r="F3" t="s">
        <v>175</v>
      </c>
      <c r="G3" t="s">
        <v>176</v>
      </c>
      <c r="H3" t="s">
        <v>177</v>
      </c>
      <c r="I3" t="s">
        <v>178</v>
      </c>
    </row>
    <row r="4" spans="1:10" ht="15" x14ac:dyDescent="0.25">
      <c r="A4" t="s">
        <v>3</v>
      </c>
      <c r="B4" t="s">
        <v>115</v>
      </c>
      <c r="E4" t="s">
        <v>179</v>
      </c>
      <c r="F4" t="s">
        <v>127</v>
      </c>
      <c r="G4" t="s">
        <v>128</v>
      </c>
      <c r="H4" t="s">
        <v>129</v>
      </c>
      <c r="I4" t="s">
        <v>130</v>
      </c>
    </row>
    <row r="5" spans="1:10" ht="15" x14ac:dyDescent="0.25">
      <c r="A5" t="s">
        <v>3</v>
      </c>
      <c r="B5" t="s">
        <v>116</v>
      </c>
      <c r="E5" t="s">
        <v>180</v>
      </c>
      <c r="F5" t="s">
        <v>181</v>
      </c>
      <c r="G5" t="s">
        <v>182</v>
      </c>
      <c r="H5" t="s">
        <v>183</v>
      </c>
      <c r="I5" t="s">
        <v>184</v>
      </c>
    </row>
    <row r="6" spans="1:10" ht="15" x14ac:dyDescent="0.25">
      <c r="A6" t="s">
        <v>3</v>
      </c>
      <c r="B6" t="s">
        <v>140</v>
      </c>
      <c r="C6" t="s">
        <v>187</v>
      </c>
      <c r="E6" t="s">
        <v>185</v>
      </c>
      <c r="F6" t="s">
        <v>97</v>
      </c>
      <c r="G6" t="s">
        <v>98</v>
      </c>
      <c r="H6" t="s">
        <v>133</v>
      </c>
      <c r="I6" t="s">
        <v>186</v>
      </c>
    </row>
    <row r="7" spans="1:10" ht="15" x14ac:dyDescent="0.25">
      <c r="A7" t="s">
        <v>3</v>
      </c>
      <c r="B7" t="s">
        <v>121</v>
      </c>
      <c r="E7" t="s">
        <v>188</v>
      </c>
      <c r="F7" t="s">
        <v>189</v>
      </c>
      <c r="G7" t="s">
        <v>190</v>
      </c>
      <c r="H7" t="s">
        <v>191</v>
      </c>
      <c r="I7" t="s">
        <v>192</v>
      </c>
    </row>
    <row r="8" spans="1:10" ht="15" x14ac:dyDescent="0.25">
      <c r="A8" t="s">
        <v>3</v>
      </c>
      <c r="B8" t="s">
        <v>151</v>
      </c>
      <c r="E8" t="s">
        <v>193</v>
      </c>
      <c r="F8" t="s">
        <v>194</v>
      </c>
      <c r="G8" t="s">
        <v>195</v>
      </c>
      <c r="H8" t="s">
        <v>196</v>
      </c>
      <c r="I8" t="s">
        <v>197</v>
      </c>
    </row>
    <row r="9" spans="1:10" ht="15" x14ac:dyDescent="0.25">
      <c r="A9" t="s">
        <v>3</v>
      </c>
      <c r="B9" t="s">
        <v>96</v>
      </c>
      <c r="E9" t="s">
        <v>198</v>
      </c>
      <c r="F9" t="s">
        <v>199</v>
      </c>
      <c r="G9" t="s">
        <v>200</v>
      </c>
      <c r="H9" t="s">
        <v>201</v>
      </c>
      <c r="I9" t="s">
        <v>202</v>
      </c>
    </row>
    <row r="10" spans="1:10" ht="15" x14ac:dyDescent="0.25">
      <c r="A10" t="s">
        <v>3</v>
      </c>
      <c r="B10" t="s">
        <v>152</v>
      </c>
      <c r="E10" t="s">
        <v>203</v>
      </c>
      <c r="F10" t="s">
        <v>204</v>
      </c>
      <c r="G10" t="s">
        <v>205</v>
      </c>
      <c r="H10" t="s">
        <v>206</v>
      </c>
      <c r="I10" t="s">
        <v>207</v>
      </c>
    </row>
    <row r="11" spans="1:10" ht="15" x14ac:dyDescent="0.25">
      <c r="A11" t="s">
        <v>3</v>
      </c>
      <c r="B11" t="s">
        <v>100</v>
      </c>
      <c r="E11" t="s">
        <v>208</v>
      </c>
      <c r="F11" t="s">
        <v>155</v>
      </c>
      <c r="G11" t="s">
        <v>126</v>
      </c>
      <c r="H11" t="s">
        <v>114</v>
      </c>
      <c r="I11" t="s">
        <v>121</v>
      </c>
    </row>
    <row r="12" spans="1:10" ht="15" x14ac:dyDescent="0.25">
      <c r="A12" t="s">
        <v>3</v>
      </c>
      <c r="B12" t="s">
        <v>210</v>
      </c>
      <c r="C12" t="s">
        <v>215</v>
      </c>
      <c r="E12" t="s">
        <v>209</v>
      </c>
      <c r="F12" t="s">
        <v>211</v>
      </c>
      <c r="G12" t="s">
        <v>212</v>
      </c>
      <c r="H12" t="s">
        <v>213</v>
      </c>
      <c r="I12" t="s">
        <v>214</v>
      </c>
    </row>
    <row r="13" spans="1:10" ht="15" x14ac:dyDescent="0.25">
      <c r="A13" t="s">
        <v>3</v>
      </c>
      <c r="B13" t="s">
        <v>104</v>
      </c>
      <c r="E13" t="s">
        <v>216</v>
      </c>
      <c r="F13" t="s">
        <v>217</v>
      </c>
      <c r="G13" t="s">
        <v>218</v>
      </c>
      <c r="H13" t="s">
        <v>219</v>
      </c>
      <c r="I13" t="s">
        <v>220</v>
      </c>
    </row>
    <row r="14" spans="1:10" ht="15" x14ac:dyDescent="0.25">
      <c r="A14" t="s">
        <v>3</v>
      </c>
      <c r="B14" t="s">
        <v>222</v>
      </c>
      <c r="E14" t="s">
        <v>221</v>
      </c>
      <c r="F14" t="s">
        <v>97</v>
      </c>
      <c r="G14" t="s">
        <v>98</v>
      </c>
      <c r="H14" t="s">
        <v>133</v>
      </c>
      <c r="I14" t="s">
        <v>160</v>
      </c>
    </row>
    <row r="15" spans="1:10" ht="15" x14ac:dyDescent="0.25">
      <c r="A15" t="s">
        <v>3</v>
      </c>
      <c r="B15" t="s">
        <v>224</v>
      </c>
      <c r="E15" t="s">
        <v>223</v>
      </c>
      <c r="F15" t="s">
        <v>225</v>
      </c>
      <c r="G15" t="s">
        <v>226</v>
      </c>
      <c r="H15" t="s">
        <v>227</v>
      </c>
      <c r="I15" t="s">
        <v>228</v>
      </c>
    </row>
    <row r="16" spans="1:10" ht="15" x14ac:dyDescent="0.25">
      <c r="A16" t="s">
        <v>3</v>
      </c>
      <c r="B16" t="s">
        <v>141</v>
      </c>
      <c r="C16" t="s">
        <v>105</v>
      </c>
      <c r="E16" t="s">
        <v>229</v>
      </c>
      <c r="F16" t="s">
        <v>230</v>
      </c>
      <c r="G16" t="s">
        <v>231</v>
      </c>
      <c r="H16" t="s">
        <v>232</v>
      </c>
      <c r="I16" t="s">
        <v>233</v>
      </c>
    </row>
    <row r="17" spans="1:9" ht="15" x14ac:dyDescent="0.25">
      <c r="A17" t="s">
        <v>3</v>
      </c>
      <c r="B17" t="s">
        <v>235</v>
      </c>
      <c r="E17" t="s">
        <v>234</v>
      </c>
      <c r="F17" t="s">
        <v>159</v>
      </c>
      <c r="G17" t="s">
        <v>158</v>
      </c>
      <c r="H17" t="s">
        <v>236</v>
      </c>
      <c r="I17" t="s">
        <v>237</v>
      </c>
    </row>
    <row r="18" spans="1:9" ht="15" x14ac:dyDescent="0.25">
      <c r="A18" t="s">
        <v>3</v>
      </c>
      <c r="B18" t="s">
        <v>239</v>
      </c>
      <c r="E18" t="s">
        <v>238</v>
      </c>
      <c r="F18" t="s">
        <v>240</v>
      </c>
      <c r="G18" t="s">
        <v>241</v>
      </c>
      <c r="H18" t="s">
        <v>242</v>
      </c>
      <c r="I18" t="s">
        <v>243</v>
      </c>
    </row>
    <row r="19" spans="1:9" ht="15" x14ac:dyDescent="0.25">
      <c r="A19" t="s">
        <v>3</v>
      </c>
      <c r="B19" t="s">
        <v>153</v>
      </c>
      <c r="E19" t="s">
        <v>244</v>
      </c>
      <c r="F19" t="s">
        <v>245</v>
      </c>
      <c r="G19" t="s">
        <v>246</v>
      </c>
      <c r="H19" t="s">
        <v>247</v>
      </c>
      <c r="I19" t="s">
        <v>248</v>
      </c>
    </row>
    <row r="20" spans="1:9" ht="15" x14ac:dyDescent="0.25">
      <c r="A20" t="s">
        <v>3</v>
      </c>
      <c r="B20" t="s">
        <v>250</v>
      </c>
      <c r="E20" t="s">
        <v>249</v>
      </c>
      <c r="F20" t="s">
        <v>251</v>
      </c>
      <c r="G20" t="s">
        <v>252</v>
      </c>
      <c r="H20" t="s">
        <v>253</v>
      </c>
      <c r="I20" t="s">
        <v>254</v>
      </c>
    </row>
    <row r="21" spans="1:9" ht="15" x14ac:dyDescent="0.25">
      <c r="A21" t="s">
        <v>3</v>
      </c>
      <c r="B21" t="s">
        <v>106</v>
      </c>
      <c r="C21" t="s">
        <v>259</v>
      </c>
      <c r="E21" t="s">
        <v>255</v>
      </c>
      <c r="F21" t="s">
        <v>256</v>
      </c>
      <c r="G21" t="s">
        <v>257</v>
      </c>
      <c r="H21" t="s">
        <v>258</v>
      </c>
      <c r="I21" t="s">
        <v>56</v>
      </c>
    </row>
    <row r="22" spans="1:9" ht="15" x14ac:dyDescent="0.25">
      <c r="A22" t="s">
        <v>3</v>
      </c>
      <c r="B22" t="s">
        <v>261</v>
      </c>
      <c r="E22" t="s">
        <v>260</v>
      </c>
      <c r="F22" t="s">
        <v>165</v>
      </c>
      <c r="G22" t="s">
        <v>262</v>
      </c>
      <c r="H22" t="s">
        <v>263</v>
      </c>
      <c r="I22" t="s">
        <v>264</v>
      </c>
    </row>
    <row r="23" spans="1:9" ht="15" x14ac:dyDescent="0.25">
      <c r="A23" t="s">
        <v>3</v>
      </c>
      <c r="B23" t="s">
        <v>266</v>
      </c>
      <c r="E23" t="s">
        <v>265</v>
      </c>
      <c r="F23" t="s">
        <v>267</v>
      </c>
      <c r="G23" t="s">
        <v>268</v>
      </c>
      <c r="H23" t="s">
        <v>269</v>
      </c>
      <c r="I23" t="s">
        <v>270</v>
      </c>
    </row>
    <row r="24" spans="1:9" ht="15" x14ac:dyDescent="0.25">
      <c r="A24" t="s">
        <v>3</v>
      </c>
      <c r="B24" t="s">
        <v>272</v>
      </c>
      <c r="E24" t="s">
        <v>271</v>
      </c>
      <c r="F24" t="s">
        <v>273</v>
      </c>
      <c r="G24" t="s">
        <v>274</v>
      </c>
      <c r="H24" t="s">
        <v>168</v>
      </c>
      <c r="I24" t="s">
        <v>169</v>
      </c>
    </row>
    <row r="25" spans="1:9" ht="15" x14ac:dyDescent="0.25">
      <c r="A25" t="s">
        <v>3</v>
      </c>
      <c r="B25" t="s">
        <v>276</v>
      </c>
      <c r="E25" t="s">
        <v>275</v>
      </c>
      <c r="F25" t="s">
        <v>98</v>
      </c>
      <c r="G25" t="s">
        <v>131</v>
      </c>
      <c r="H25" t="s">
        <v>160</v>
      </c>
      <c r="I25" t="s">
        <v>94</v>
      </c>
    </row>
    <row r="26" spans="1:9" ht="15" x14ac:dyDescent="0.25">
      <c r="A26" t="s">
        <v>3</v>
      </c>
      <c r="B26" t="s">
        <v>278</v>
      </c>
      <c r="C26" t="s">
        <v>283</v>
      </c>
      <c r="E26" t="s">
        <v>277</v>
      </c>
      <c r="F26" t="s">
        <v>279</v>
      </c>
      <c r="G26" t="s">
        <v>280</v>
      </c>
      <c r="H26" t="s">
        <v>281</v>
      </c>
      <c r="I26" t="s">
        <v>282</v>
      </c>
    </row>
    <row r="27" spans="1:9" ht="15" x14ac:dyDescent="0.25">
      <c r="A27" t="s">
        <v>3</v>
      </c>
      <c r="B27" t="s">
        <v>285</v>
      </c>
      <c r="E27" t="s">
        <v>284</v>
      </c>
      <c r="F27" t="s">
        <v>286</v>
      </c>
      <c r="G27" t="s">
        <v>287</v>
      </c>
      <c r="H27" t="s">
        <v>288</v>
      </c>
      <c r="I27" t="s">
        <v>289</v>
      </c>
    </row>
    <row r="28" spans="1:9" ht="15" x14ac:dyDescent="0.25">
      <c r="A28" t="s">
        <v>3</v>
      </c>
      <c r="B28" t="s">
        <v>291</v>
      </c>
      <c r="E28" t="s">
        <v>290</v>
      </c>
      <c r="F28" t="s">
        <v>292</v>
      </c>
      <c r="G28" t="s">
        <v>293</v>
      </c>
      <c r="H28" t="s">
        <v>294</v>
      </c>
      <c r="I28" t="s">
        <v>295</v>
      </c>
    </row>
    <row r="29" spans="1:9" ht="15" x14ac:dyDescent="0.25">
      <c r="A29" t="s">
        <v>3</v>
      </c>
      <c r="B29" t="s">
        <v>142</v>
      </c>
      <c r="E29" t="s">
        <v>296</v>
      </c>
      <c r="F29" t="s">
        <v>297</v>
      </c>
      <c r="G29" t="s">
        <v>297</v>
      </c>
      <c r="H29" t="s">
        <v>298</v>
      </c>
      <c r="I29" t="s">
        <v>299</v>
      </c>
    </row>
    <row r="30" spans="1:9" ht="15" x14ac:dyDescent="0.25">
      <c r="A30" t="s">
        <v>3</v>
      </c>
      <c r="B30" t="s">
        <v>301</v>
      </c>
      <c r="C30" t="s">
        <v>105</v>
      </c>
      <c r="E30" t="s">
        <v>300</v>
      </c>
      <c r="F30" t="s">
        <v>302</v>
      </c>
      <c r="G30" t="s">
        <v>303</v>
      </c>
      <c r="H30" t="s">
        <v>304</v>
      </c>
      <c r="I30" t="s">
        <v>305</v>
      </c>
    </row>
    <row r="31" spans="1:9" ht="15" x14ac:dyDescent="0.25">
      <c r="A31" t="s">
        <v>3</v>
      </c>
      <c r="B31" t="s">
        <v>122</v>
      </c>
      <c r="E31" t="s">
        <v>306</v>
      </c>
      <c r="F31" t="s">
        <v>307</v>
      </c>
      <c r="G31" t="s">
        <v>308</v>
      </c>
      <c r="H31" t="s">
        <v>309</v>
      </c>
      <c r="I31" t="s">
        <v>310</v>
      </c>
    </row>
    <row r="32" spans="1:9" ht="15" x14ac:dyDescent="0.25">
      <c r="A32" t="s">
        <v>3</v>
      </c>
      <c r="B32" t="s">
        <v>143</v>
      </c>
      <c r="E32" t="s">
        <v>311</v>
      </c>
      <c r="F32" t="s">
        <v>312</v>
      </c>
      <c r="G32" t="s">
        <v>313</v>
      </c>
      <c r="H32" t="s">
        <v>314</v>
      </c>
      <c r="I32" t="s">
        <v>315</v>
      </c>
    </row>
    <row r="33" spans="1:9" ht="15" x14ac:dyDescent="0.25">
      <c r="A33" t="s">
        <v>3</v>
      </c>
      <c r="B33" t="s">
        <v>144</v>
      </c>
      <c r="E33" t="s">
        <v>316</v>
      </c>
      <c r="F33" t="s">
        <v>317</v>
      </c>
      <c r="G33" t="s">
        <v>318</v>
      </c>
      <c r="H33" t="s">
        <v>319</v>
      </c>
      <c r="I33" t="s">
        <v>320</v>
      </c>
    </row>
    <row r="34" spans="1:9" ht="15" x14ac:dyDescent="0.25">
      <c r="A34" t="s">
        <v>3</v>
      </c>
      <c r="B34" t="s">
        <v>145</v>
      </c>
      <c r="E34" t="s">
        <v>321</v>
      </c>
      <c r="F34" t="s">
        <v>322</v>
      </c>
      <c r="G34" t="s">
        <v>323</v>
      </c>
      <c r="H34" t="s">
        <v>324</v>
      </c>
      <c r="I34" t="s">
        <v>325</v>
      </c>
    </row>
    <row r="35" spans="1:9" ht="15" x14ac:dyDescent="0.25">
      <c r="A35" t="s">
        <v>3</v>
      </c>
      <c r="B35" t="s">
        <v>327</v>
      </c>
      <c r="E35" t="s">
        <v>326</v>
      </c>
      <c r="F35" t="s">
        <v>328</v>
      </c>
      <c r="G35" t="s">
        <v>329</v>
      </c>
      <c r="H35" t="s">
        <v>330</v>
      </c>
      <c r="I35" t="s">
        <v>331</v>
      </c>
    </row>
    <row r="36" spans="1:9" ht="15" x14ac:dyDescent="0.25">
      <c r="A36" t="s">
        <v>3</v>
      </c>
      <c r="B36" t="s">
        <v>333</v>
      </c>
      <c r="E36" t="s">
        <v>332</v>
      </c>
      <c r="F36" t="s">
        <v>97</v>
      </c>
      <c r="G36" t="s">
        <v>133</v>
      </c>
      <c r="H36" t="s">
        <v>131</v>
      </c>
      <c r="I36" t="s">
        <v>160</v>
      </c>
    </row>
    <row r="37" spans="1:9" ht="15" x14ac:dyDescent="0.25">
      <c r="A37" t="s">
        <v>3</v>
      </c>
      <c r="B37" t="s">
        <v>125</v>
      </c>
      <c r="C37" t="s">
        <v>339</v>
      </c>
      <c r="E37" t="s">
        <v>334</v>
      </c>
      <c r="F37" t="s">
        <v>335</v>
      </c>
      <c r="G37" t="s">
        <v>336</v>
      </c>
      <c r="H37" t="s">
        <v>337</v>
      </c>
      <c r="I37" t="s">
        <v>338</v>
      </c>
    </row>
    <row r="38" spans="1:9" ht="15" x14ac:dyDescent="0.25">
      <c r="A38" t="s">
        <v>3</v>
      </c>
      <c r="B38" t="s">
        <v>341</v>
      </c>
      <c r="E38" t="s">
        <v>340</v>
      </c>
      <c r="F38" t="s">
        <v>342</v>
      </c>
      <c r="G38" t="s">
        <v>343</v>
      </c>
      <c r="H38" t="s">
        <v>344</v>
      </c>
      <c r="I38" t="s">
        <v>345</v>
      </c>
    </row>
    <row r="39" spans="1:9" ht="15" x14ac:dyDescent="0.25">
      <c r="A39" t="s">
        <v>3</v>
      </c>
      <c r="B39" t="s">
        <v>347</v>
      </c>
      <c r="E39" t="s">
        <v>346</v>
      </c>
      <c r="F39" t="s">
        <v>166</v>
      </c>
      <c r="G39" t="s">
        <v>348</v>
      </c>
      <c r="H39" t="s">
        <v>349</v>
      </c>
      <c r="I39" t="s">
        <v>350</v>
      </c>
    </row>
    <row r="40" spans="1:9" ht="15" x14ac:dyDescent="0.25">
      <c r="A40" t="s">
        <v>3</v>
      </c>
      <c r="B40" t="s">
        <v>352</v>
      </c>
      <c r="E40" t="s">
        <v>351</v>
      </c>
      <c r="F40" t="s">
        <v>353</v>
      </c>
      <c r="G40" t="s">
        <v>354</v>
      </c>
      <c r="H40" t="s">
        <v>355</v>
      </c>
      <c r="I40" t="s">
        <v>356</v>
      </c>
    </row>
    <row r="41" spans="1:9" ht="15" x14ac:dyDescent="0.25">
      <c r="A41" t="s">
        <v>3</v>
      </c>
      <c r="B41" t="s">
        <v>123</v>
      </c>
      <c r="C41" t="s">
        <v>362</v>
      </c>
      <c r="E41" t="s">
        <v>357</v>
      </c>
      <c r="F41" t="s">
        <v>358</v>
      </c>
      <c r="G41" t="s">
        <v>359</v>
      </c>
      <c r="H41" t="s">
        <v>360</v>
      </c>
      <c r="I41" t="s">
        <v>361</v>
      </c>
    </row>
    <row r="42" spans="1:9" ht="15" x14ac:dyDescent="0.25">
      <c r="A42" t="s">
        <v>3</v>
      </c>
      <c r="B42" t="s">
        <v>364</v>
      </c>
      <c r="E42" t="s">
        <v>363</v>
      </c>
      <c r="F42" t="s">
        <v>365</v>
      </c>
      <c r="G42" t="s">
        <v>366</v>
      </c>
      <c r="H42" t="s">
        <v>367</v>
      </c>
      <c r="I42" t="s">
        <v>368</v>
      </c>
    </row>
    <row r="43" spans="1:9" ht="15" x14ac:dyDescent="0.25">
      <c r="A43" t="s">
        <v>3</v>
      </c>
      <c r="B43" t="s">
        <v>370</v>
      </c>
      <c r="E43" t="s">
        <v>369</v>
      </c>
      <c r="F43" t="s">
        <v>371</v>
      </c>
      <c r="G43" t="s">
        <v>372</v>
      </c>
      <c r="H43" t="s">
        <v>373</v>
      </c>
      <c r="I43" t="s">
        <v>374</v>
      </c>
    </row>
    <row r="44" spans="1:9" ht="15" x14ac:dyDescent="0.25">
      <c r="A44" t="s">
        <v>3</v>
      </c>
      <c r="B44" t="s">
        <v>376</v>
      </c>
      <c r="E44" t="s">
        <v>375</v>
      </c>
      <c r="F44" t="s">
        <v>377</v>
      </c>
      <c r="G44" t="s">
        <v>378</v>
      </c>
      <c r="H44" t="s">
        <v>379</v>
      </c>
      <c r="I44" t="s">
        <v>380</v>
      </c>
    </row>
    <row r="45" spans="1:9" ht="15" x14ac:dyDescent="0.25">
      <c r="A45" t="s">
        <v>3</v>
      </c>
      <c r="B45" t="s">
        <v>382</v>
      </c>
      <c r="E45" t="s">
        <v>381</v>
      </c>
      <c r="F45" t="s">
        <v>383</v>
      </c>
      <c r="G45" t="s">
        <v>384</v>
      </c>
      <c r="H45" t="s">
        <v>385</v>
      </c>
      <c r="I45" t="s">
        <v>386</v>
      </c>
    </row>
    <row r="46" spans="1:9" ht="15" x14ac:dyDescent="0.25">
      <c r="A46" t="s">
        <v>3</v>
      </c>
      <c r="B46" t="s">
        <v>388</v>
      </c>
      <c r="E46" t="s">
        <v>387</v>
      </c>
      <c r="F46" t="s">
        <v>389</v>
      </c>
      <c r="G46" t="s">
        <v>390</v>
      </c>
      <c r="H46" t="s">
        <v>391</v>
      </c>
      <c r="I46" t="s">
        <v>392</v>
      </c>
    </row>
    <row r="47" spans="1:9" ht="15" x14ac:dyDescent="0.25">
      <c r="A47" t="s">
        <v>3</v>
      </c>
      <c r="B47" t="s">
        <v>394</v>
      </c>
      <c r="E47" t="s">
        <v>393</v>
      </c>
      <c r="F47" t="s">
        <v>395</v>
      </c>
      <c r="G47" t="s">
        <v>396</v>
      </c>
      <c r="H47" t="s">
        <v>397</v>
      </c>
      <c r="I47" t="s">
        <v>398</v>
      </c>
    </row>
    <row r="48" spans="1:9" ht="15" x14ac:dyDescent="0.25">
      <c r="A48" t="s">
        <v>3</v>
      </c>
      <c r="B48" t="s">
        <v>400</v>
      </c>
      <c r="C48" t="s">
        <v>401</v>
      </c>
      <c r="E48" t="s">
        <v>399</v>
      </c>
      <c r="F48" t="s">
        <v>102</v>
      </c>
      <c r="G48" t="s">
        <v>147</v>
      </c>
      <c r="H48" t="s">
        <v>101</v>
      </c>
      <c r="I48" t="s">
        <v>103</v>
      </c>
    </row>
    <row r="49" spans="1:9" ht="15" x14ac:dyDescent="0.25">
      <c r="A49" t="s">
        <v>3</v>
      </c>
      <c r="B49" t="s">
        <v>403</v>
      </c>
      <c r="E49" t="s">
        <v>402</v>
      </c>
      <c r="F49" t="s">
        <v>147</v>
      </c>
      <c r="G49" t="s">
        <v>102</v>
      </c>
      <c r="H49" t="s">
        <v>404</v>
      </c>
      <c r="I49" t="s">
        <v>101</v>
      </c>
    </row>
    <row r="50" spans="1:9" ht="15" x14ac:dyDescent="0.25">
      <c r="A50" t="s">
        <v>3</v>
      </c>
      <c r="B50" t="s">
        <v>406</v>
      </c>
      <c r="E50" t="s">
        <v>405</v>
      </c>
      <c r="F50" t="s">
        <v>407</v>
      </c>
      <c r="G50" t="s">
        <v>408</v>
      </c>
      <c r="H50" t="s">
        <v>409</v>
      </c>
      <c r="I50" t="s">
        <v>410</v>
      </c>
    </row>
    <row r="51" spans="1:9" ht="15" x14ac:dyDescent="0.25">
      <c r="A51" t="s">
        <v>3</v>
      </c>
      <c r="B51" t="s">
        <v>124</v>
      </c>
      <c r="E51" t="s">
        <v>411</v>
      </c>
      <c r="F51" t="s">
        <v>412</v>
      </c>
      <c r="G51" t="s">
        <v>413</v>
      </c>
      <c r="H51" t="s">
        <v>414</v>
      </c>
      <c r="I51" t="s">
        <v>415</v>
      </c>
    </row>
    <row r="52" spans="1:9" ht="15" x14ac:dyDescent="0.25">
      <c r="A52" t="s">
        <v>3</v>
      </c>
      <c r="B52" t="s">
        <v>417</v>
      </c>
      <c r="E52" t="s">
        <v>416</v>
      </c>
      <c r="F52" t="s">
        <v>418</v>
      </c>
      <c r="G52" t="s">
        <v>419</v>
      </c>
      <c r="H52" t="s">
        <v>420</v>
      </c>
      <c r="I52" t="s">
        <v>421</v>
      </c>
    </row>
    <row r="53" spans="1:9" ht="15" x14ac:dyDescent="0.25">
      <c r="A53" t="s">
        <v>3</v>
      </c>
      <c r="B53" t="s">
        <v>423</v>
      </c>
      <c r="C53" t="s">
        <v>105</v>
      </c>
      <c r="E53" t="s">
        <v>422</v>
      </c>
      <c r="F53" t="s">
        <v>117</v>
      </c>
      <c r="G53" t="s">
        <v>118</v>
      </c>
      <c r="H53" t="s">
        <v>119</v>
      </c>
      <c r="I53" t="s">
        <v>120</v>
      </c>
    </row>
    <row r="54" spans="1:9" ht="15" x14ac:dyDescent="0.25">
      <c r="A54" t="s">
        <v>4</v>
      </c>
      <c r="B54" t="s">
        <v>113</v>
      </c>
      <c r="E54" t="s">
        <v>424</v>
      </c>
      <c r="F54" t="s">
        <v>425</v>
      </c>
      <c r="G54" t="s">
        <v>426</v>
      </c>
      <c r="H54" t="s">
        <v>427</v>
      </c>
      <c r="I54" t="s">
        <v>428</v>
      </c>
    </row>
    <row r="55" spans="1:9" ht="15" x14ac:dyDescent="0.25">
      <c r="A55" t="s">
        <v>4</v>
      </c>
      <c r="B55" t="s">
        <v>114</v>
      </c>
      <c r="E55" t="s">
        <v>429</v>
      </c>
      <c r="F55" t="s">
        <v>430</v>
      </c>
      <c r="G55" t="s">
        <v>431</v>
      </c>
      <c r="H55" t="s">
        <v>432</v>
      </c>
      <c r="I55" t="s">
        <v>433</v>
      </c>
    </row>
    <row r="56" spans="1:9" ht="15" x14ac:dyDescent="0.25">
      <c r="A56" t="s">
        <v>4</v>
      </c>
      <c r="B56" t="s">
        <v>115</v>
      </c>
      <c r="E56" t="s">
        <v>434</v>
      </c>
      <c r="F56" t="s">
        <v>435</v>
      </c>
      <c r="G56" t="s">
        <v>436</v>
      </c>
      <c r="H56" t="s">
        <v>437</v>
      </c>
      <c r="I56" t="s">
        <v>438</v>
      </c>
    </row>
    <row r="57" spans="1:9" ht="15" x14ac:dyDescent="0.25">
      <c r="A57" t="s">
        <v>4</v>
      </c>
      <c r="B57" t="s">
        <v>116</v>
      </c>
      <c r="E57" t="s">
        <v>439</v>
      </c>
      <c r="F57" t="s">
        <v>440</v>
      </c>
      <c r="G57" t="s">
        <v>441</v>
      </c>
      <c r="H57" t="s">
        <v>442</v>
      </c>
      <c r="I57" t="s">
        <v>443</v>
      </c>
    </row>
    <row r="58" spans="1:9" ht="15" x14ac:dyDescent="0.25">
      <c r="A58" t="s">
        <v>4</v>
      </c>
      <c r="B58" t="s">
        <v>140</v>
      </c>
      <c r="C58" t="s">
        <v>449</v>
      </c>
      <c r="E58" t="s">
        <v>444</v>
      </c>
      <c r="F58" t="s">
        <v>445</v>
      </c>
      <c r="G58" t="s">
        <v>446</v>
      </c>
      <c r="H58" t="s">
        <v>447</v>
      </c>
      <c r="I58" t="s">
        <v>448</v>
      </c>
    </row>
    <row r="59" spans="1:9" ht="15" x14ac:dyDescent="0.25">
      <c r="A59" t="s">
        <v>4</v>
      </c>
      <c r="B59" t="s">
        <v>121</v>
      </c>
      <c r="E59" t="s">
        <v>450</v>
      </c>
      <c r="F59" t="s">
        <v>451</v>
      </c>
      <c r="G59" t="s">
        <v>452</v>
      </c>
      <c r="H59" t="s">
        <v>453</v>
      </c>
      <c r="I59" t="s">
        <v>454</v>
      </c>
    </row>
    <row r="60" spans="1:9" ht="15" x14ac:dyDescent="0.25">
      <c r="A60" t="s">
        <v>4</v>
      </c>
      <c r="B60" t="s">
        <v>151</v>
      </c>
      <c r="E60" t="s">
        <v>455</v>
      </c>
      <c r="F60" t="s">
        <v>456</v>
      </c>
      <c r="G60" t="s">
        <v>457</v>
      </c>
      <c r="H60" t="s">
        <v>458</v>
      </c>
      <c r="I60" t="s">
        <v>459</v>
      </c>
    </row>
    <row r="61" spans="1:9" ht="15" x14ac:dyDescent="0.25">
      <c r="A61" t="s">
        <v>4</v>
      </c>
      <c r="B61" t="s">
        <v>96</v>
      </c>
      <c r="E61" t="s">
        <v>460</v>
      </c>
      <c r="F61" t="s">
        <v>461</v>
      </c>
      <c r="G61" t="s">
        <v>462</v>
      </c>
      <c r="H61" t="s">
        <v>463</v>
      </c>
      <c r="I61" t="s">
        <v>464</v>
      </c>
    </row>
    <row r="62" spans="1:9" ht="15" x14ac:dyDescent="0.25">
      <c r="A62" t="s">
        <v>4</v>
      </c>
      <c r="B62" t="s">
        <v>152</v>
      </c>
      <c r="E62" t="s">
        <v>465</v>
      </c>
      <c r="F62" t="s">
        <v>466</v>
      </c>
      <c r="G62" t="s">
        <v>467</v>
      </c>
      <c r="H62" t="s">
        <v>468</v>
      </c>
      <c r="I62" t="s">
        <v>469</v>
      </c>
    </row>
    <row r="63" spans="1:9" ht="15" x14ac:dyDescent="0.25">
      <c r="A63" t="s">
        <v>4</v>
      </c>
      <c r="B63" t="s">
        <v>100</v>
      </c>
      <c r="E63" t="s">
        <v>470</v>
      </c>
      <c r="F63" t="s">
        <v>471</v>
      </c>
      <c r="G63" t="s">
        <v>472</v>
      </c>
      <c r="H63" t="s">
        <v>473</v>
      </c>
      <c r="I63" t="s">
        <v>474</v>
      </c>
    </row>
    <row r="64" spans="1:9" ht="15" x14ac:dyDescent="0.25">
      <c r="A64" t="s">
        <v>4</v>
      </c>
      <c r="B64" t="s">
        <v>210</v>
      </c>
      <c r="E64" t="s">
        <v>475</v>
      </c>
      <c r="F64" t="s">
        <v>476</v>
      </c>
      <c r="G64" t="s">
        <v>477</v>
      </c>
      <c r="H64" t="s">
        <v>478</v>
      </c>
      <c r="I64" t="s">
        <v>479</v>
      </c>
    </row>
    <row r="65" spans="1:9" ht="15" x14ac:dyDescent="0.25">
      <c r="A65" t="s">
        <v>4</v>
      </c>
      <c r="B65" t="s">
        <v>104</v>
      </c>
      <c r="C65" t="s">
        <v>485</v>
      </c>
      <c r="E65" t="s">
        <v>480</v>
      </c>
      <c r="F65" t="s">
        <v>481</v>
      </c>
      <c r="G65" t="s">
        <v>482</v>
      </c>
      <c r="H65" t="s">
        <v>483</v>
      </c>
      <c r="I65" t="s">
        <v>484</v>
      </c>
    </row>
    <row r="66" spans="1:9" ht="15" x14ac:dyDescent="0.25">
      <c r="A66" t="s">
        <v>4</v>
      </c>
      <c r="B66" t="s">
        <v>222</v>
      </c>
      <c r="E66" t="s">
        <v>486</v>
      </c>
      <c r="F66" t="s">
        <v>487</v>
      </c>
      <c r="G66" t="s">
        <v>488</v>
      </c>
      <c r="H66" t="s">
        <v>489</v>
      </c>
      <c r="I66" t="s">
        <v>490</v>
      </c>
    </row>
    <row r="67" spans="1:9" ht="15" x14ac:dyDescent="0.25">
      <c r="A67" t="s">
        <v>4</v>
      </c>
      <c r="B67" t="s">
        <v>224</v>
      </c>
      <c r="E67" t="s">
        <v>491</v>
      </c>
      <c r="F67" t="s">
        <v>492</v>
      </c>
      <c r="G67" t="s">
        <v>493</v>
      </c>
      <c r="H67" t="s">
        <v>494</v>
      </c>
      <c r="I67" t="s">
        <v>495</v>
      </c>
    </row>
    <row r="68" spans="1:9" ht="15" x14ac:dyDescent="0.25">
      <c r="A68" t="s">
        <v>4</v>
      </c>
      <c r="B68" t="s">
        <v>141</v>
      </c>
      <c r="E68" t="s">
        <v>496</v>
      </c>
      <c r="F68" t="s">
        <v>497</v>
      </c>
      <c r="G68" t="s">
        <v>498</v>
      </c>
      <c r="H68" t="s">
        <v>499</v>
      </c>
      <c r="I68" t="s">
        <v>500</v>
      </c>
    </row>
    <row r="69" spans="1:9" ht="15" x14ac:dyDescent="0.25">
      <c r="A69" t="s">
        <v>4</v>
      </c>
      <c r="B69" t="s">
        <v>235</v>
      </c>
      <c r="E69" t="s">
        <v>501</v>
      </c>
      <c r="F69" t="s">
        <v>502</v>
      </c>
      <c r="G69" t="s">
        <v>503</v>
      </c>
      <c r="H69" t="s">
        <v>504</v>
      </c>
      <c r="I69" t="s">
        <v>505</v>
      </c>
    </row>
    <row r="70" spans="1:9" ht="15" x14ac:dyDescent="0.25">
      <c r="A70" t="s">
        <v>4</v>
      </c>
      <c r="B70" t="s">
        <v>239</v>
      </c>
      <c r="C70" t="s">
        <v>511</v>
      </c>
      <c r="E70" t="s">
        <v>506</v>
      </c>
      <c r="F70" t="s">
        <v>507</v>
      </c>
      <c r="G70" t="s">
        <v>508</v>
      </c>
      <c r="H70" t="s">
        <v>509</v>
      </c>
      <c r="I70" t="s">
        <v>510</v>
      </c>
    </row>
    <row r="71" spans="1:9" ht="15" x14ac:dyDescent="0.25">
      <c r="A71" t="s">
        <v>4</v>
      </c>
      <c r="B71" t="s">
        <v>153</v>
      </c>
      <c r="E71" t="s">
        <v>512</v>
      </c>
      <c r="F71" t="s">
        <v>513</v>
      </c>
      <c r="G71" t="s">
        <v>514</v>
      </c>
      <c r="H71" t="s">
        <v>515</v>
      </c>
      <c r="I71" t="s">
        <v>516</v>
      </c>
    </row>
    <row r="72" spans="1:9" ht="15" x14ac:dyDescent="0.25">
      <c r="A72" t="s">
        <v>4</v>
      </c>
      <c r="B72" t="s">
        <v>250</v>
      </c>
      <c r="E72" t="s">
        <v>517</v>
      </c>
      <c r="F72" t="s">
        <v>518</v>
      </c>
      <c r="G72" t="s">
        <v>519</v>
      </c>
      <c r="H72" t="s">
        <v>520</v>
      </c>
      <c r="I72" t="s">
        <v>521</v>
      </c>
    </row>
    <row r="73" spans="1:9" ht="15" x14ac:dyDescent="0.25">
      <c r="A73" t="s">
        <v>4</v>
      </c>
      <c r="B73" t="s">
        <v>106</v>
      </c>
      <c r="E73" t="s">
        <v>522</v>
      </c>
      <c r="F73" t="s">
        <v>523</v>
      </c>
      <c r="G73" t="s">
        <v>524</v>
      </c>
      <c r="H73" t="s">
        <v>525</v>
      </c>
      <c r="I73" t="s">
        <v>526</v>
      </c>
    </row>
    <row r="74" spans="1:9" ht="15" x14ac:dyDescent="0.25">
      <c r="A74" t="s">
        <v>4</v>
      </c>
      <c r="B74" t="s">
        <v>261</v>
      </c>
      <c r="E74" t="s">
        <v>527</v>
      </c>
      <c r="F74" t="s">
        <v>528</v>
      </c>
      <c r="G74" t="s">
        <v>529</v>
      </c>
      <c r="H74" t="s">
        <v>530</v>
      </c>
      <c r="I74" t="s">
        <v>531</v>
      </c>
    </row>
    <row r="75" spans="1:9" ht="15" x14ac:dyDescent="0.25">
      <c r="A75" t="s">
        <v>4</v>
      </c>
      <c r="B75" t="s">
        <v>266</v>
      </c>
      <c r="E75" t="s">
        <v>532</v>
      </c>
      <c r="F75" t="s">
        <v>533</v>
      </c>
      <c r="G75" t="s">
        <v>534</v>
      </c>
      <c r="H75" t="s">
        <v>535</v>
      </c>
      <c r="I75" t="s">
        <v>536</v>
      </c>
    </row>
    <row r="76" spans="1:9" ht="15" x14ac:dyDescent="0.25">
      <c r="A76" t="s">
        <v>4</v>
      </c>
      <c r="B76" t="s">
        <v>272</v>
      </c>
      <c r="C76" t="s">
        <v>542</v>
      </c>
      <c r="E76" t="s">
        <v>537</v>
      </c>
      <c r="F76" t="s">
        <v>538</v>
      </c>
      <c r="G76" t="s">
        <v>539</v>
      </c>
      <c r="H76" t="s">
        <v>540</v>
      </c>
      <c r="I76" t="s">
        <v>541</v>
      </c>
    </row>
    <row r="77" spans="1:9" ht="15" x14ac:dyDescent="0.25">
      <c r="A77" t="s">
        <v>4</v>
      </c>
      <c r="B77" t="s">
        <v>276</v>
      </c>
      <c r="E77" t="s">
        <v>543</v>
      </c>
      <c r="F77" t="s">
        <v>544</v>
      </c>
      <c r="G77" t="s">
        <v>545</v>
      </c>
      <c r="H77" t="s">
        <v>546</v>
      </c>
      <c r="I77" t="s">
        <v>547</v>
      </c>
    </row>
    <row r="78" spans="1:9" ht="15" x14ac:dyDescent="0.25">
      <c r="A78" t="s">
        <v>4</v>
      </c>
      <c r="B78" t="s">
        <v>278</v>
      </c>
      <c r="E78" t="s">
        <v>548</v>
      </c>
      <c r="F78" t="s">
        <v>549</v>
      </c>
      <c r="G78" t="s">
        <v>550</v>
      </c>
      <c r="H78" t="s">
        <v>551</v>
      </c>
      <c r="I78" t="s">
        <v>552</v>
      </c>
    </row>
    <row r="79" spans="1:9" ht="15" x14ac:dyDescent="0.25">
      <c r="A79" t="s">
        <v>4</v>
      </c>
      <c r="B79" t="s">
        <v>285</v>
      </c>
      <c r="E79" t="s">
        <v>553</v>
      </c>
      <c r="F79" t="s">
        <v>554</v>
      </c>
      <c r="G79" t="s">
        <v>555</v>
      </c>
      <c r="H79" t="s">
        <v>556</v>
      </c>
      <c r="I79" t="s">
        <v>557</v>
      </c>
    </row>
    <row r="80" spans="1:9" ht="15" x14ac:dyDescent="0.25">
      <c r="A80" t="s">
        <v>4</v>
      </c>
      <c r="B80" t="s">
        <v>291</v>
      </c>
      <c r="E80" t="s">
        <v>558</v>
      </c>
      <c r="F80" t="s">
        <v>97</v>
      </c>
      <c r="G80" t="s">
        <v>98</v>
      </c>
      <c r="H80" t="s">
        <v>99</v>
      </c>
      <c r="I80" t="s">
        <v>93</v>
      </c>
    </row>
    <row r="81" spans="1:9" ht="15" x14ac:dyDescent="0.25">
      <c r="A81" t="s">
        <v>4</v>
      </c>
      <c r="B81" t="s">
        <v>142</v>
      </c>
      <c r="E81" t="s">
        <v>559</v>
      </c>
      <c r="F81" t="s">
        <v>560</v>
      </c>
      <c r="G81" t="s">
        <v>561</v>
      </c>
      <c r="H81" t="s">
        <v>562</v>
      </c>
      <c r="I81" t="s">
        <v>563</v>
      </c>
    </row>
    <row r="82" spans="1:9" ht="15" x14ac:dyDescent="0.25">
      <c r="A82" t="s">
        <v>4</v>
      </c>
      <c r="B82" t="s">
        <v>301</v>
      </c>
      <c r="C82" t="s">
        <v>569</v>
      </c>
      <c r="E82" t="s">
        <v>564</v>
      </c>
      <c r="F82" t="s">
        <v>565</v>
      </c>
      <c r="G82" t="s">
        <v>566</v>
      </c>
      <c r="H82" t="s">
        <v>567</v>
      </c>
      <c r="I82" t="s">
        <v>568</v>
      </c>
    </row>
    <row r="83" spans="1:9" ht="15" x14ac:dyDescent="0.25">
      <c r="A83" t="s">
        <v>4</v>
      </c>
      <c r="B83" t="s">
        <v>122</v>
      </c>
      <c r="E83" t="s">
        <v>570</v>
      </c>
      <c r="F83" t="s">
        <v>571</v>
      </c>
      <c r="G83" t="s">
        <v>572</v>
      </c>
      <c r="H83" t="s">
        <v>573</v>
      </c>
      <c r="I83" t="s">
        <v>574</v>
      </c>
    </row>
    <row r="84" spans="1:9" ht="15" x14ac:dyDescent="0.25">
      <c r="A84" t="s">
        <v>4</v>
      </c>
      <c r="B84" t="s">
        <v>143</v>
      </c>
      <c r="E84" t="s">
        <v>575</v>
      </c>
      <c r="F84" t="s">
        <v>576</v>
      </c>
      <c r="G84" t="s">
        <v>577</v>
      </c>
      <c r="H84" t="s">
        <v>578</v>
      </c>
      <c r="I84" t="s">
        <v>579</v>
      </c>
    </row>
    <row r="85" spans="1:9" ht="15" x14ac:dyDescent="0.25">
      <c r="A85" t="s">
        <v>4</v>
      </c>
      <c r="B85" t="s">
        <v>144</v>
      </c>
      <c r="E85" t="s">
        <v>580</v>
      </c>
      <c r="F85" t="s">
        <v>581</v>
      </c>
      <c r="G85" t="s">
        <v>582</v>
      </c>
      <c r="H85" t="s">
        <v>583</v>
      </c>
      <c r="I85" t="s">
        <v>584</v>
      </c>
    </row>
    <row r="86" spans="1:9" ht="15" x14ac:dyDescent="0.25">
      <c r="A86" t="s">
        <v>4</v>
      </c>
      <c r="B86" t="s">
        <v>145</v>
      </c>
      <c r="E86" t="s">
        <v>585</v>
      </c>
      <c r="F86" t="s">
        <v>586</v>
      </c>
      <c r="G86" t="s">
        <v>587</v>
      </c>
      <c r="H86" t="s">
        <v>588</v>
      </c>
      <c r="I86" t="s">
        <v>589</v>
      </c>
    </row>
    <row r="87" spans="1:9" ht="15" x14ac:dyDescent="0.25">
      <c r="A87" t="s">
        <v>4</v>
      </c>
      <c r="B87" t="s">
        <v>327</v>
      </c>
      <c r="E87" t="s">
        <v>590</v>
      </c>
      <c r="F87" t="s">
        <v>591</v>
      </c>
      <c r="G87" t="s">
        <v>592</v>
      </c>
      <c r="H87" t="s">
        <v>593</v>
      </c>
      <c r="I87" t="s">
        <v>594</v>
      </c>
    </row>
    <row r="88" spans="1:9" ht="15" x14ac:dyDescent="0.25">
      <c r="A88" t="s">
        <v>4</v>
      </c>
      <c r="B88" t="s">
        <v>333</v>
      </c>
      <c r="C88" t="s">
        <v>597</v>
      </c>
      <c r="E88" t="s">
        <v>595</v>
      </c>
      <c r="F88" t="s">
        <v>170</v>
      </c>
      <c r="G88" t="s">
        <v>172</v>
      </c>
      <c r="H88" t="s">
        <v>171</v>
      </c>
      <c r="I88" t="s">
        <v>596</v>
      </c>
    </row>
    <row r="89" spans="1:9" ht="15" x14ac:dyDescent="0.25">
      <c r="A89" t="s">
        <v>4</v>
      </c>
      <c r="B89" t="s">
        <v>125</v>
      </c>
      <c r="E89" t="s">
        <v>598</v>
      </c>
      <c r="F89" t="s">
        <v>599</v>
      </c>
      <c r="G89" t="s">
        <v>600</v>
      </c>
      <c r="H89" t="s">
        <v>601</v>
      </c>
      <c r="I89" t="s">
        <v>602</v>
      </c>
    </row>
    <row r="90" spans="1:9" ht="15" x14ac:dyDescent="0.25">
      <c r="A90" t="s">
        <v>4</v>
      </c>
      <c r="B90" t="s">
        <v>341</v>
      </c>
      <c r="E90" t="s">
        <v>603</v>
      </c>
      <c r="F90" t="s">
        <v>604</v>
      </c>
      <c r="G90" t="s">
        <v>605</v>
      </c>
      <c r="H90" t="s">
        <v>606</v>
      </c>
      <c r="I90" t="s">
        <v>607</v>
      </c>
    </row>
    <row r="91" spans="1:9" ht="15" x14ac:dyDescent="0.25">
      <c r="A91" t="s">
        <v>4</v>
      </c>
      <c r="B91" t="s">
        <v>347</v>
      </c>
      <c r="E91" t="s">
        <v>608</v>
      </c>
      <c r="F91" t="s">
        <v>609</v>
      </c>
      <c r="G91" t="s">
        <v>610</v>
      </c>
      <c r="H91" t="s">
        <v>611</v>
      </c>
      <c r="I91" t="s">
        <v>612</v>
      </c>
    </row>
    <row r="92" spans="1:9" ht="15" x14ac:dyDescent="0.25">
      <c r="A92" t="s">
        <v>4</v>
      </c>
      <c r="B92" t="s">
        <v>352</v>
      </c>
      <c r="E92" t="s">
        <v>613</v>
      </c>
      <c r="F92" t="s">
        <v>614</v>
      </c>
      <c r="G92" t="s">
        <v>615</v>
      </c>
      <c r="H92" t="s">
        <v>616</v>
      </c>
      <c r="I92" t="s">
        <v>617</v>
      </c>
    </row>
    <row r="93" spans="1:9" ht="15" x14ac:dyDescent="0.25">
      <c r="A93" t="s">
        <v>4</v>
      </c>
      <c r="B93" t="s">
        <v>123</v>
      </c>
      <c r="C93" t="s">
        <v>623</v>
      </c>
      <c r="E93" t="s">
        <v>618</v>
      </c>
      <c r="F93" t="s">
        <v>619</v>
      </c>
      <c r="G93" t="s">
        <v>620</v>
      </c>
      <c r="H93" t="s">
        <v>621</v>
      </c>
      <c r="I93" t="s">
        <v>622</v>
      </c>
    </row>
    <row r="94" spans="1:9" ht="15" x14ac:dyDescent="0.25">
      <c r="A94" t="s">
        <v>5</v>
      </c>
      <c r="B94" t="s">
        <v>113</v>
      </c>
      <c r="E94" t="s">
        <v>624</v>
      </c>
      <c r="F94" t="s">
        <v>625</v>
      </c>
      <c r="G94" t="s">
        <v>626</v>
      </c>
      <c r="H94" t="s">
        <v>627</v>
      </c>
      <c r="I94" t="s">
        <v>628</v>
      </c>
    </row>
    <row r="95" spans="1:9" ht="15" x14ac:dyDescent="0.25">
      <c r="A95" t="s">
        <v>5</v>
      </c>
      <c r="B95" t="s">
        <v>114</v>
      </c>
      <c r="E95" t="s">
        <v>629</v>
      </c>
      <c r="F95" t="s">
        <v>630</v>
      </c>
      <c r="G95" t="s">
        <v>631</v>
      </c>
      <c r="H95" t="s">
        <v>632</v>
      </c>
      <c r="I95" t="s">
        <v>633</v>
      </c>
    </row>
    <row r="96" spans="1:9" ht="15" x14ac:dyDescent="0.25">
      <c r="A96" t="s">
        <v>5</v>
      </c>
      <c r="B96" t="s">
        <v>115</v>
      </c>
      <c r="E96" t="s">
        <v>149</v>
      </c>
      <c r="F96" t="s">
        <v>634</v>
      </c>
      <c r="G96" t="s">
        <v>635</v>
      </c>
      <c r="H96" t="s">
        <v>636</v>
      </c>
      <c r="I96" t="s">
        <v>637</v>
      </c>
    </row>
    <row r="97" spans="1:9" ht="15" x14ac:dyDescent="0.25">
      <c r="A97" t="s">
        <v>5</v>
      </c>
      <c r="B97" t="s">
        <v>116</v>
      </c>
      <c r="E97" t="s">
        <v>638</v>
      </c>
      <c r="F97" t="s">
        <v>639</v>
      </c>
      <c r="G97" t="s">
        <v>640</v>
      </c>
      <c r="H97" t="s">
        <v>641</v>
      </c>
      <c r="I97" t="s">
        <v>642</v>
      </c>
    </row>
    <row r="98" spans="1:9" ht="15" x14ac:dyDescent="0.25">
      <c r="A98" t="s">
        <v>5</v>
      </c>
      <c r="B98" t="s">
        <v>140</v>
      </c>
      <c r="E98" t="s">
        <v>643</v>
      </c>
      <c r="F98" t="s">
        <v>644</v>
      </c>
      <c r="G98" t="s">
        <v>645</v>
      </c>
      <c r="H98" t="s">
        <v>646</v>
      </c>
      <c r="I98" t="s">
        <v>647</v>
      </c>
    </row>
    <row r="99" spans="1:9" ht="15" x14ac:dyDescent="0.25">
      <c r="A99" t="s">
        <v>5</v>
      </c>
      <c r="B99" t="s">
        <v>121</v>
      </c>
      <c r="E99" t="s">
        <v>648</v>
      </c>
      <c r="F99" t="s">
        <v>649</v>
      </c>
      <c r="G99" t="s">
        <v>650</v>
      </c>
      <c r="H99" t="s">
        <v>651</v>
      </c>
      <c r="I99" t="s">
        <v>652</v>
      </c>
    </row>
    <row r="100" spans="1:9" ht="15" x14ac:dyDescent="0.25">
      <c r="A100" t="s">
        <v>5</v>
      </c>
      <c r="B100" t="s">
        <v>151</v>
      </c>
      <c r="C100" t="s">
        <v>658</v>
      </c>
      <c r="E100" t="s">
        <v>653</v>
      </c>
      <c r="F100" t="s">
        <v>654</v>
      </c>
      <c r="G100" t="s">
        <v>655</v>
      </c>
      <c r="H100" t="s">
        <v>656</v>
      </c>
      <c r="I100" t="s">
        <v>657</v>
      </c>
    </row>
    <row r="101" spans="1:9" ht="15" x14ac:dyDescent="0.25">
      <c r="A101" t="s">
        <v>5</v>
      </c>
      <c r="B101" t="s">
        <v>96</v>
      </c>
      <c r="E101" t="s">
        <v>659</v>
      </c>
      <c r="F101" t="s">
        <v>660</v>
      </c>
      <c r="G101" t="s">
        <v>661</v>
      </c>
      <c r="H101" t="s">
        <v>662</v>
      </c>
      <c r="I101" t="s">
        <v>663</v>
      </c>
    </row>
    <row r="102" spans="1:9" ht="15" x14ac:dyDescent="0.25">
      <c r="A102" t="s">
        <v>5</v>
      </c>
      <c r="B102" t="s">
        <v>152</v>
      </c>
      <c r="E102" t="s">
        <v>664</v>
      </c>
      <c r="F102" t="s">
        <v>665</v>
      </c>
      <c r="G102" t="s">
        <v>666</v>
      </c>
      <c r="H102" t="s">
        <v>667</v>
      </c>
      <c r="I102" t="s">
        <v>668</v>
      </c>
    </row>
    <row r="103" spans="1:9" ht="15" x14ac:dyDescent="0.25">
      <c r="A103" t="s">
        <v>5</v>
      </c>
      <c r="B103" t="s">
        <v>100</v>
      </c>
      <c r="E103" t="s">
        <v>669</v>
      </c>
      <c r="F103" t="s">
        <v>670</v>
      </c>
      <c r="G103" t="s">
        <v>671</v>
      </c>
      <c r="H103" t="s">
        <v>672</v>
      </c>
      <c r="I103" t="s">
        <v>673</v>
      </c>
    </row>
    <row r="104" spans="1:9" ht="15" x14ac:dyDescent="0.25">
      <c r="A104" t="s">
        <v>5</v>
      </c>
      <c r="B104" t="s">
        <v>210</v>
      </c>
      <c r="E104" t="s">
        <v>674</v>
      </c>
      <c r="F104" t="s">
        <v>675</v>
      </c>
      <c r="G104" t="s">
        <v>676</v>
      </c>
      <c r="H104" t="s">
        <v>677</v>
      </c>
      <c r="I104" t="s">
        <v>678</v>
      </c>
    </row>
    <row r="105" spans="1:9" ht="15" x14ac:dyDescent="0.25">
      <c r="A105" t="s">
        <v>5</v>
      </c>
      <c r="B105" t="s">
        <v>104</v>
      </c>
      <c r="C105" t="s">
        <v>684</v>
      </c>
      <c r="E105" t="s">
        <v>679</v>
      </c>
      <c r="F105" t="s">
        <v>680</v>
      </c>
      <c r="G105" t="s">
        <v>681</v>
      </c>
      <c r="H105" t="s">
        <v>682</v>
      </c>
      <c r="I105" t="s">
        <v>683</v>
      </c>
    </row>
    <row r="106" spans="1:9" ht="15" x14ac:dyDescent="0.25">
      <c r="A106" t="s">
        <v>5</v>
      </c>
      <c r="B106" t="s">
        <v>222</v>
      </c>
      <c r="E106" t="s">
        <v>685</v>
      </c>
      <c r="F106" t="s">
        <v>686</v>
      </c>
      <c r="G106" t="s">
        <v>148</v>
      </c>
      <c r="H106" t="s">
        <v>687</v>
      </c>
      <c r="I106" t="s">
        <v>688</v>
      </c>
    </row>
    <row r="107" spans="1:9" ht="15" x14ac:dyDescent="0.25">
      <c r="A107" t="s">
        <v>5</v>
      </c>
      <c r="B107" t="s">
        <v>224</v>
      </c>
      <c r="E107" t="s">
        <v>689</v>
      </c>
      <c r="F107" t="s">
        <v>690</v>
      </c>
      <c r="G107" t="s">
        <v>691</v>
      </c>
      <c r="H107" t="s">
        <v>692</v>
      </c>
      <c r="I107" t="s">
        <v>693</v>
      </c>
    </row>
    <row r="108" spans="1:9" ht="15" x14ac:dyDescent="0.25">
      <c r="A108" t="s">
        <v>5</v>
      </c>
      <c r="B108" t="s">
        <v>141</v>
      </c>
      <c r="E108" t="s">
        <v>694</v>
      </c>
      <c r="F108" t="s">
        <v>695</v>
      </c>
      <c r="G108" t="s">
        <v>696</v>
      </c>
      <c r="H108" t="s">
        <v>697</v>
      </c>
      <c r="I108" t="s">
        <v>698</v>
      </c>
    </row>
    <row r="109" spans="1:9" ht="15" x14ac:dyDescent="0.25">
      <c r="A109" t="s">
        <v>5</v>
      </c>
      <c r="B109" t="s">
        <v>235</v>
      </c>
      <c r="C109" t="s">
        <v>105</v>
      </c>
      <c r="E109" t="s">
        <v>699</v>
      </c>
      <c r="F109" t="s">
        <v>700</v>
      </c>
      <c r="G109" t="s">
        <v>701</v>
      </c>
      <c r="H109" t="s">
        <v>702</v>
      </c>
      <c r="I109" t="s">
        <v>703</v>
      </c>
    </row>
    <row r="110" spans="1:9" ht="15" x14ac:dyDescent="0.25">
      <c r="A110" t="s">
        <v>5</v>
      </c>
      <c r="B110" t="s">
        <v>239</v>
      </c>
      <c r="E110" t="s">
        <v>704</v>
      </c>
      <c r="F110" t="s">
        <v>705</v>
      </c>
      <c r="G110" t="s">
        <v>706</v>
      </c>
      <c r="H110" t="s">
        <v>707</v>
      </c>
      <c r="I110" t="s">
        <v>708</v>
      </c>
    </row>
    <row r="111" spans="1:9" ht="15" x14ac:dyDescent="0.25">
      <c r="A111" t="s">
        <v>5</v>
      </c>
      <c r="B111" t="s">
        <v>153</v>
      </c>
      <c r="E111" t="s">
        <v>709</v>
      </c>
      <c r="F111" t="s">
        <v>710</v>
      </c>
      <c r="G111" t="s">
        <v>711</v>
      </c>
      <c r="H111" t="s">
        <v>712</v>
      </c>
      <c r="I111" t="s">
        <v>713</v>
      </c>
    </row>
    <row r="112" spans="1:9" ht="15" x14ac:dyDescent="0.25">
      <c r="A112" t="s">
        <v>5</v>
      </c>
      <c r="B112" t="s">
        <v>250</v>
      </c>
      <c r="E112" t="s">
        <v>714</v>
      </c>
      <c r="F112" t="s">
        <v>170</v>
      </c>
      <c r="G112" t="s">
        <v>172</v>
      </c>
      <c r="H112" t="s">
        <v>715</v>
      </c>
      <c r="I112" t="s">
        <v>596</v>
      </c>
    </row>
    <row r="113" spans="1:9" ht="15" x14ac:dyDescent="0.25">
      <c r="A113" t="s">
        <v>5</v>
      </c>
      <c r="B113" t="s">
        <v>106</v>
      </c>
      <c r="E113" t="s">
        <v>716</v>
      </c>
      <c r="F113" t="s">
        <v>717</v>
      </c>
      <c r="G113" t="s">
        <v>167</v>
      </c>
      <c r="H113" t="s">
        <v>718</v>
      </c>
      <c r="I113" t="s">
        <v>719</v>
      </c>
    </row>
    <row r="114" spans="1:9" ht="15" x14ac:dyDescent="0.25">
      <c r="A114" t="s">
        <v>5</v>
      </c>
      <c r="B114" t="s">
        <v>261</v>
      </c>
      <c r="C114" t="s">
        <v>725</v>
      </c>
      <c r="E114" t="s">
        <v>720</v>
      </c>
      <c r="F114" t="s">
        <v>721</v>
      </c>
      <c r="G114" t="s">
        <v>722</v>
      </c>
      <c r="H114" t="s">
        <v>723</v>
      </c>
      <c r="I114" t="s">
        <v>724</v>
      </c>
    </row>
    <row r="115" spans="1:9" ht="15" x14ac:dyDescent="0.25">
      <c r="A115" t="s">
        <v>5</v>
      </c>
      <c r="B115" t="s">
        <v>266</v>
      </c>
      <c r="E115" t="s">
        <v>726</v>
      </c>
      <c r="F115" t="s">
        <v>97</v>
      </c>
      <c r="G115" t="s">
        <v>98</v>
      </c>
      <c r="H115" t="s">
        <v>160</v>
      </c>
      <c r="I115" t="s">
        <v>132</v>
      </c>
    </row>
    <row r="116" spans="1:9" ht="15" x14ac:dyDescent="0.25">
      <c r="A116" t="s">
        <v>5</v>
      </c>
      <c r="B116" t="s">
        <v>272</v>
      </c>
      <c r="E116" t="s">
        <v>727</v>
      </c>
      <c r="F116" t="s">
        <v>728</v>
      </c>
      <c r="G116" t="s">
        <v>154</v>
      </c>
      <c r="H116" t="s">
        <v>729</v>
      </c>
      <c r="I116" t="s">
        <v>730</v>
      </c>
    </row>
    <row r="117" spans="1:9" ht="15" x14ac:dyDescent="0.25">
      <c r="A117" t="s">
        <v>5</v>
      </c>
      <c r="B117" t="s">
        <v>276</v>
      </c>
      <c r="E117" t="s">
        <v>731</v>
      </c>
      <c r="F117" t="s">
        <v>95</v>
      </c>
      <c r="G117" t="s">
        <v>95</v>
      </c>
      <c r="H117" t="s">
        <v>95</v>
      </c>
      <c r="I117" t="s">
        <v>95</v>
      </c>
    </row>
    <row r="118" spans="1:9" ht="15" x14ac:dyDescent="0.25">
      <c r="A118" t="s">
        <v>5</v>
      </c>
      <c r="B118" t="s">
        <v>278</v>
      </c>
      <c r="E118" t="s">
        <v>732</v>
      </c>
      <c r="F118" t="s">
        <v>733</v>
      </c>
      <c r="G118" t="s">
        <v>734</v>
      </c>
      <c r="H118" t="s">
        <v>735</v>
      </c>
      <c r="I118" t="s">
        <v>736</v>
      </c>
    </row>
    <row r="119" spans="1:9" ht="15" x14ac:dyDescent="0.25">
      <c r="A119" t="s">
        <v>5</v>
      </c>
      <c r="B119" t="s">
        <v>285</v>
      </c>
      <c r="E119" t="s">
        <v>737</v>
      </c>
      <c r="F119" t="s">
        <v>738</v>
      </c>
      <c r="G119" t="s">
        <v>739</v>
      </c>
      <c r="H119" t="s">
        <v>740</v>
      </c>
      <c r="I119" t="s">
        <v>741</v>
      </c>
    </row>
    <row r="120" spans="1:9" ht="15" x14ac:dyDescent="0.25">
      <c r="A120" t="s">
        <v>5</v>
      </c>
      <c r="B120" t="s">
        <v>291</v>
      </c>
      <c r="E120" t="s">
        <v>742</v>
      </c>
      <c r="F120" t="s">
        <v>743</v>
      </c>
      <c r="G120" t="s">
        <v>744</v>
      </c>
      <c r="H120" t="s">
        <v>251</v>
      </c>
      <c r="I120" t="s">
        <v>745</v>
      </c>
    </row>
    <row r="121" spans="1:9" ht="15" x14ac:dyDescent="0.25">
      <c r="A121" t="s">
        <v>5</v>
      </c>
      <c r="B121" t="s">
        <v>142</v>
      </c>
      <c r="C121" t="s">
        <v>747</v>
      </c>
      <c r="E121" t="s">
        <v>746</v>
      </c>
      <c r="F121" t="s">
        <v>95</v>
      </c>
      <c r="G121" t="s">
        <v>95</v>
      </c>
      <c r="H121" t="s">
        <v>95</v>
      </c>
      <c r="I121" t="s">
        <v>95</v>
      </c>
    </row>
    <row r="122" spans="1:9" ht="15" x14ac:dyDescent="0.25">
      <c r="A122" t="s">
        <v>5</v>
      </c>
      <c r="B122" t="s">
        <v>301</v>
      </c>
      <c r="E122" t="s">
        <v>748</v>
      </c>
      <c r="F122" t="s">
        <v>749</v>
      </c>
      <c r="G122" t="s">
        <v>750</v>
      </c>
      <c r="H122" t="s">
        <v>751</v>
      </c>
      <c r="I122" t="s">
        <v>752</v>
      </c>
    </row>
    <row r="123" spans="1:9" ht="15" x14ac:dyDescent="0.25">
      <c r="A123" t="s">
        <v>5</v>
      </c>
      <c r="B123" t="s">
        <v>122</v>
      </c>
      <c r="E123" t="s">
        <v>753</v>
      </c>
      <c r="F123" t="s">
        <v>754</v>
      </c>
      <c r="G123" t="s">
        <v>755</v>
      </c>
      <c r="H123" t="s">
        <v>756</v>
      </c>
      <c r="I123" t="s">
        <v>757</v>
      </c>
    </row>
    <row r="124" spans="1:9" ht="15" x14ac:dyDescent="0.25">
      <c r="A124" t="s">
        <v>5</v>
      </c>
      <c r="B124" t="s">
        <v>143</v>
      </c>
      <c r="E124" t="s">
        <v>758</v>
      </c>
      <c r="F124" t="s">
        <v>98</v>
      </c>
      <c r="G124" t="s">
        <v>133</v>
      </c>
      <c r="H124" t="s">
        <v>160</v>
      </c>
      <c r="I124" t="s">
        <v>759</v>
      </c>
    </row>
    <row r="125" spans="1:9" ht="15" x14ac:dyDescent="0.25">
      <c r="A125" t="s">
        <v>5</v>
      </c>
      <c r="B125" t="s">
        <v>144</v>
      </c>
      <c r="C125" t="s">
        <v>105</v>
      </c>
      <c r="E125" t="s">
        <v>760</v>
      </c>
      <c r="F125" t="s">
        <v>761</v>
      </c>
      <c r="G125" t="s">
        <v>762</v>
      </c>
      <c r="H125" t="s">
        <v>763</v>
      </c>
      <c r="I125" t="s">
        <v>764</v>
      </c>
    </row>
    <row r="126" spans="1:9" ht="15" x14ac:dyDescent="0.25">
      <c r="A126" t="s">
        <v>5</v>
      </c>
      <c r="B126" t="s">
        <v>145</v>
      </c>
      <c r="E126" t="s">
        <v>765</v>
      </c>
      <c r="F126" t="s">
        <v>766</v>
      </c>
      <c r="G126" t="s">
        <v>767</v>
      </c>
      <c r="H126" t="s">
        <v>768</v>
      </c>
      <c r="I126" t="s">
        <v>769</v>
      </c>
    </row>
    <row r="127" spans="1:9" ht="15" x14ac:dyDescent="0.25">
      <c r="A127" t="s">
        <v>5</v>
      </c>
      <c r="B127" t="s">
        <v>327</v>
      </c>
      <c r="E127" t="s">
        <v>770</v>
      </c>
      <c r="F127" t="s">
        <v>771</v>
      </c>
      <c r="G127" t="s">
        <v>772</v>
      </c>
      <c r="H127" t="s">
        <v>156</v>
      </c>
      <c r="I127" t="s">
        <v>773</v>
      </c>
    </row>
    <row r="128" spans="1:9" ht="15" x14ac:dyDescent="0.25">
      <c r="A128" t="s">
        <v>5</v>
      </c>
      <c r="B128" t="s">
        <v>333</v>
      </c>
      <c r="E128" t="s">
        <v>774</v>
      </c>
      <c r="F128" t="s">
        <v>775</v>
      </c>
      <c r="G128" t="s">
        <v>776</v>
      </c>
      <c r="H128" t="s">
        <v>777</v>
      </c>
      <c r="I128" t="s">
        <v>778</v>
      </c>
    </row>
    <row r="129" spans="1:9" ht="15" x14ac:dyDescent="0.25">
      <c r="A129" t="s">
        <v>5</v>
      </c>
      <c r="B129" t="s">
        <v>125</v>
      </c>
      <c r="E129" t="s">
        <v>779</v>
      </c>
      <c r="F129" t="s">
        <v>780</v>
      </c>
      <c r="G129" t="s">
        <v>781</v>
      </c>
      <c r="H129" t="s">
        <v>782</v>
      </c>
      <c r="I129" t="s">
        <v>783</v>
      </c>
    </row>
    <row r="130" spans="1:9" ht="15" x14ac:dyDescent="0.25">
      <c r="A130" t="s">
        <v>5</v>
      </c>
      <c r="B130" t="s">
        <v>341</v>
      </c>
      <c r="E130" t="s">
        <v>784</v>
      </c>
      <c r="F130" t="s">
        <v>785</v>
      </c>
      <c r="G130" t="s">
        <v>786</v>
      </c>
      <c r="H130" t="s">
        <v>787</v>
      </c>
      <c r="I130" t="s">
        <v>788</v>
      </c>
    </row>
    <row r="131" spans="1:9" ht="15" x14ac:dyDescent="0.25">
      <c r="A131" t="s">
        <v>5</v>
      </c>
      <c r="B131" t="s">
        <v>347</v>
      </c>
      <c r="C131" t="s">
        <v>794</v>
      </c>
      <c r="E131" t="s">
        <v>789</v>
      </c>
      <c r="F131" t="s">
        <v>790</v>
      </c>
      <c r="G131" t="s">
        <v>791</v>
      </c>
      <c r="H131" t="s">
        <v>792</v>
      </c>
      <c r="I131" t="s">
        <v>793</v>
      </c>
    </row>
    <row r="132" spans="1:9" ht="15" x14ac:dyDescent="0.25">
      <c r="A132" t="s">
        <v>5</v>
      </c>
      <c r="B132" t="s">
        <v>352</v>
      </c>
      <c r="E132" t="s">
        <v>795</v>
      </c>
      <c r="F132" t="s">
        <v>796</v>
      </c>
      <c r="G132" t="s">
        <v>797</v>
      </c>
      <c r="H132" t="s">
        <v>798</v>
      </c>
      <c r="I132" t="s">
        <v>799</v>
      </c>
    </row>
    <row r="133" spans="1:9" ht="15" x14ac:dyDescent="0.25">
      <c r="A133" t="s">
        <v>5</v>
      </c>
      <c r="B133" t="s">
        <v>123</v>
      </c>
      <c r="E133" t="s">
        <v>800</v>
      </c>
      <c r="F133" t="s">
        <v>801</v>
      </c>
      <c r="G133" t="s">
        <v>802</v>
      </c>
      <c r="H133" t="s">
        <v>803</v>
      </c>
      <c r="I133" t="s">
        <v>804</v>
      </c>
    </row>
    <row r="134" spans="1:9" ht="15" x14ac:dyDescent="0.25">
      <c r="A134" t="s">
        <v>5</v>
      </c>
      <c r="B134" t="s">
        <v>364</v>
      </c>
      <c r="E134" t="s">
        <v>805</v>
      </c>
      <c r="F134" t="s">
        <v>131</v>
      </c>
      <c r="G134" t="s">
        <v>98</v>
      </c>
      <c r="H134" t="s">
        <v>132</v>
      </c>
      <c r="I134" t="s">
        <v>806</v>
      </c>
    </row>
    <row r="135" spans="1:9" ht="15" x14ac:dyDescent="0.25">
      <c r="A135" t="s">
        <v>5</v>
      </c>
      <c r="B135" t="s">
        <v>370</v>
      </c>
      <c r="E135" t="s">
        <v>807</v>
      </c>
      <c r="F135" t="s">
        <v>97</v>
      </c>
      <c r="G135" t="s">
        <v>132</v>
      </c>
      <c r="H135" t="s">
        <v>131</v>
      </c>
      <c r="I135" t="s">
        <v>806</v>
      </c>
    </row>
    <row r="136" spans="1:9" ht="15" x14ac:dyDescent="0.25">
      <c r="A136" t="s">
        <v>5</v>
      </c>
      <c r="B136" t="s">
        <v>376</v>
      </c>
      <c r="C136" t="s">
        <v>813</v>
      </c>
      <c r="E136" t="s">
        <v>808</v>
      </c>
      <c r="F136" t="s">
        <v>809</v>
      </c>
      <c r="G136" t="s">
        <v>810</v>
      </c>
      <c r="H136" t="s">
        <v>811</v>
      </c>
      <c r="I136" t="s">
        <v>812</v>
      </c>
    </row>
    <row r="137" spans="1:9" ht="15" x14ac:dyDescent="0.25">
      <c r="A137" t="s">
        <v>5</v>
      </c>
      <c r="B137" t="s">
        <v>382</v>
      </c>
      <c r="E137" t="s">
        <v>814</v>
      </c>
      <c r="F137" t="s">
        <v>815</v>
      </c>
      <c r="G137" t="s">
        <v>816</v>
      </c>
      <c r="H137" t="s">
        <v>817</v>
      </c>
      <c r="I137" t="s">
        <v>818</v>
      </c>
    </row>
    <row r="138" spans="1:9" ht="15" x14ac:dyDescent="0.25">
      <c r="A138" t="s">
        <v>5</v>
      </c>
      <c r="B138" t="s">
        <v>388</v>
      </c>
      <c r="E138" t="s">
        <v>819</v>
      </c>
      <c r="F138" t="s">
        <v>820</v>
      </c>
      <c r="G138" t="s">
        <v>821</v>
      </c>
      <c r="H138" t="s">
        <v>822</v>
      </c>
      <c r="I138" t="s">
        <v>823</v>
      </c>
    </row>
    <row r="139" spans="1:9" ht="15" x14ac:dyDescent="0.25">
      <c r="A139" t="s">
        <v>5</v>
      </c>
      <c r="B139" t="s">
        <v>394</v>
      </c>
      <c r="E139" t="s">
        <v>824</v>
      </c>
      <c r="F139" t="s">
        <v>825</v>
      </c>
      <c r="G139" t="s">
        <v>826</v>
      </c>
      <c r="H139" t="s">
        <v>827</v>
      </c>
      <c r="I139" t="s">
        <v>828</v>
      </c>
    </row>
    <row r="140" spans="1:9" ht="15" x14ac:dyDescent="0.25">
      <c r="A140" t="s">
        <v>5</v>
      </c>
      <c r="B140" t="s">
        <v>400</v>
      </c>
      <c r="C140" t="s">
        <v>834</v>
      </c>
      <c r="E140" t="s">
        <v>829</v>
      </c>
      <c r="F140" t="s">
        <v>830</v>
      </c>
      <c r="G140" t="s">
        <v>831</v>
      </c>
      <c r="H140" t="s">
        <v>832</v>
      </c>
      <c r="I140" t="s">
        <v>833</v>
      </c>
    </row>
    <row r="141" spans="1:9" ht="15" x14ac:dyDescent="0.25">
      <c r="A141" t="s">
        <v>5</v>
      </c>
      <c r="B141" t="s">
        <v>403</v>
      </c>
      <c r="E141" t="s">
        <v>835</v>
      </c>
      <c r="F141" t="s">
        <v>836</v>
      </c>
      <c r="G141" t="s">
        <v>837</v>
      </c>
      <c r="H141" t="s">
        <v>838</v>
      </c>
      <c r="I141" t="s">
        <v>839</v>
      </c>
    </row>
    <row r="142" spans="1:9" ht="15" x14ac:dyDescent="0.25">
      <c r="A142" t="s">
        <v>5</v>
      </c>
      <c r="B142" t="s">
        <v>406</v>
      </c>
      <c r="E142" t="s">
        <v>840</v>
      </c>
      <c r="F142" t="s">
        <v>841</v>
      </c>
      <c r="G142" t="s">
        <v>842</v>
      </c>
      <c r="H142" t="s">
        <v>843</v>
      </c>
      <c r="I142" t="s">
        <v>844</v>
      </c>
    </row>
    <row r="143" spans="1:9" ht="15" x14ac:dyDescent="0.25">
      <c r="A143" t="s">
        <v>5</v>
      </c>
      <c r="B143" t="s">
        <v>124</v>
      </c>
      <c r="E143" t="s">
        <v>845</v>
      </c>
      <c r="F143" t="s">
        <v>146</v>
      </c>
      <c r="G143" t="s">
        <v>95</v>
      </c>
      <c r="H143" t="s">
        <v>95</v>
      </c>
      <c r="I143" t="s">
        <v>95</v>
      </c>
    </row>
    <row r="144" spans="1:9" ht="15" x14ac:dyDescent="0.25">
      <c r="A144" t="s">
        <v>5</v>
      </c>
      <c r="B144" t="s">
        <v>417</v>
      </c>
      <c r="E144" t="s">
        <v>846</v>
      </c>
      <c r="F144" t="s">
        <v>847</v>
      </c>
      <c r="G144" t="s">
        <v>848</v>
      </c>
      <c r="H144" t="s">
        <v>849</v>
      </c>
      <c r="I144" t="s">
        <v>850</v>
      </c>
    </row>
    <row r="145" spans="1:9" ht="15" x14ac:dyDescent="0.25">
      <c r="A145" t="s">
        <v>5</v>
      </c>
      <c r="B145" t="s">
        <v>423</v>
      </c>
      <c r="C145" t="s">
        <v>105</v>
      </c>
      <c r="E145" t="s">
        <v>851</v>
      </c>
      <c r="F145" t="s">
        <v>852</v>
      </c>
      <c r="G145" t="s">
        <v>853</v>
      </c>
      <c r="H145" t="s">
        <v>854</v>
      </c>
      <c r="I145" t="s">
        <v>855</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5"/>
  <sheetViews>
    <sheetView tabSelected="1" workbookViewId="0">
      <selection activeCell="A5" sqref="A5"/>
    </sheetView>
  </sheetViews>
  <sheetFormatPr defaultRowHeight="11.25" x14ac:dyDescent="0.2"/>
  <cols>
    <col min="1" max="1" width="11.85546875" style="2" customWidth="1" collapsed="1"/>
    <col min="2" max="2" width="14.42578125" style="2" customWidth="1" collapsed="1"/>
    <col min="3" max="3" width="22.28515625" style="2" customWidth="1" collapsed="1"/>
    <col min="4" max="4" width="18.42578125" style="2" customWidth="1" collapsed="1"/>
    <col min="5" max="6" width="6" style="2" customWidth="1" collapsed="1"/>
    <col min="7" max="7" width="9.7109375" style="2" customWidth="1" collapsed="1"/>
    <col min="8" max="16384" width="9.140625" style="2" collapsed="1"/>
  </cols>
  <sheetData>
    <row r="1" spans="1:31" s="13" customFormat="1" x14ac:dyDescent="0.2">
      <c r="A1" s="11" t="s">
        <v>27</v>
      </c>
      <c r="B1" s="12" t="s">
        <v>18</v>
      </c>
      <c r="C1" s="11" t="s">
        <v>22</v>
      </c>
      <c r="D1" s="11" t="s">
        <v>55</v>
      </c>
      <c r="E1" s="12" t="s">
        <v>110</v>
      </c>
      <c r="F1" s="12" t="s">
        <v>19</v>
      </c>
      <c r="G1" s="12" t="s">
        <v>20</v>
      </c>
    </row>
    <row r="2" spans="1:31" x14ac:dyDescent="0.2">
      <c r="A2" s="2" t="s">
        <v>111</v>
      </c>
      <c r="B2" s="2" t="s">
        <v>21</v>
      </c>
      <c r="C2" s="2" t="s">
        <v>26</v>
      </c>
      <c r="D2" s="2" t="s">
        <v>56</v>
      </c>
      <c r="E2" s="2">
        <v>42</v>
      </c>
      <c r="F2" s="2">
        <v>11</v>
      </c>
      <c r="G2" s="2" t="s">
        <v>1008</v>
      </c>
      <c r="AE2" s="2">
        <v>25</v>
      </c>
    </row>
    <row r="3" spans="1:31" x14ac:dyDescent="0.2">
      <c r="A3" s="2" t="s">
        <v>111</v>
      </c>
      <c r="B3" s="2" t="s">
        <v>4</v>
      </c>
      <c r="C3" s="2" t="s">
        <v>24</v>
      </c>
      <c r="D3" s="2" t="s">
        <v>57</v>
      </c>
      <c r="E3" s="2">
        <v>13</v>
      </c>
      <c r="F3" s="2">
        <v>4</v>
      </c>
      <c r="G3" s="2" t="s">
        <v>1006</v>
      </c>
      <c r="AE3" s="2">
        <v>8</v>
      </c>
    </row>
    <row r="4" spans="1:31" x14ac:dyDescent="0.2">
      <c r="A4" s="2" t="s">
        <v>111</v>
      </c>
      <c r="B4" s="2" t="s">
        <v>5</v>
      </c>
      <c r="C4" s="2" t="s">
        <v>25</v>
      </c>
      <c r="D4" s="2" t="s">
        <v>58</v>
      </c>
      <c r="E4" s="2">
        <v>10</v>
      </c>
      <c r="F4" s="2">
        <v>1</v>
      </c>
      <c r="G4" s="2" t="s">
        <v>1007</v>
      </c>
      <c r="AE4" s="2">
        <v>11</v>
      </c>
    </row>
    <row r="5" spans="1:31" x14ac:dyDescent="0.2">
      <c r="A5" s="2" t="s">
        <v>111</v>
      </c>
      <c r="B5" s="2" t="s">
        <v>3</v>
      </c>
      <c r="C5" s="2" t="s">
        <v>23</v>
      </c>
      <c r="D5" s="2" t="s">
        <v>59</v>
      </c>
      <c r="E5" s="2">
        <v>19</v>
      </c>
      <c r="F5" s="2">
        <v>6</v>
      </c>
      <c r="G5" s="2" t="s">
        <v>1005</v>
      </c>
      <c r="AE5" s="2">
        <v>6</v>
      </c>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40"/>
  <sheetViews>
    <sheetView workbookViewId="0">
      <selection activeCell="A47" sqref="A47:XFD193"/>
    </sheetView>
  </sheetViews>
  <sheetFormatPr defaultRowHeight="11.25" x14ac:dyDescent="0.2"/>
  <cols>
    <col min="1" max="2" width="9.140625" style="2" customWidth="1" collapsed="1"/>
    <col min="3" max="3" width="7.140625" style="2" customWidth="1" collapsed="1"/>
    <col min="4" max="4" width="14.85546875" style="2" customWidth="1" collapsed="1"/>
    <col min="5" max="5" width="11.140625" style="2" customWidth="1" collapsed="1"/>
    <col min="6" max="6" width="12.42578125" style="2" customWidth="1" collapsed="1"/>
    <col min="7" max="16384" width="9.140625" style="2" collapsed="1"/>
  </cols>
  <sheetData>
    <row r="1" spans="1:6" x14ac:dyDescent="0.2">
      <c r="A1" s="16" t="s">
        <v>73</v>
      </c>
      <c r="B1" s="16" t="s">
        <v>2</v>
      </c>
      <c r="C1" s="16" t="s">
        <v>107</v>
      </c>
      <c r="D1" s="16" t="s">
        <v>108</v>
      </c>
      <c r="E1" s="16" t="s">
        <v>61</v>
      </c>
      <c r="F1" s="16" t="s">
        <v>109</v>
      </c>
    </row>
    <row r="2" spans="1:6" x14ac:dyDescent="0.2">
      <c r="A2" s="2" t="s">
        <v>111</v>
      </c>
      <c r="B2" s="2" t="s">
        <v>21</v>
      </c>
      <c r="C2" s="2">
        <v>1</v>
      </c>
      <c r="D2" s="2">
        <v>0</v>
      </c>
      <c r="E2" s="2">
        <v>1</v>
      </c>
      <c r="F2" s="2" t="str">
        <f t="shared" ref="F2:F17" si="0">IF(RIGHT(ROUND(D2,0),2)="13",ROUND(D2,0)&amp;"th",IF(RIGHT(ROUND(D2,0),2)="12",ROUND(D2,0)&amp;"th",IF(RIGHT(ROUND(D2,0),2)="11",ROUND(D2,0)&amp;"th",IF(RIGHT(ROUND(D2,0),1)="1",ROUND(D2,0)&amp;"st",IF(RIGHT(ROUND(D2,0),1)="2",ROUND(D2,0)&amp;"nd",IF(RIGHT(ROUND(D2,0),1)="3",ROUND(D2,0)&amp;"rd",ROUND(D2,0)&amp;"th"))))))</f>
        <v>0th</v>
      </c>
    </row>
    <row r="3" spans="1:6" x14ac:dyDescent="0.2">
      <c r="A3" s="2" t="s">
        <v>111</v>
      </c>
      <c r="B3" s="2" t="s">
        <v>21</v>
      </c>
      <c r="C3" s="2">
        <v>2</v>
      </c>
      <c r="D3" s="2">
        <v>0</v>
      </c>
      <c r="E3" s="2">
        <v>2</v>
      </c>
      <c r="F3" s="2" t="str">
        <f t="shared" si="0"/>
        <v>0th</v>
      </c>
    </row>
    <row r="4" spans="1:6" x14ac:dyDescent="0.2">
      <c r="A4" s="2" t="s">
        <v>111</v>
      </c>
      <c r="B4" s="2" t="s">
        <v>21</v>
      </c>
      <c r="C4" s="2">
        <v>3</v>
      </c>
      <c r="D4" s="2">
        <v>0</v>
      </c>
      <c r="E4" s="2">
        <v>3</v>
      </c>
      <c r="F4" s="2" t="str">
        <f t="shared" si="0"/>
        <v>0th</v>
      </c>
    </row>
    <row r="5" spans="1:6" x14ac:dyDescent="0.2">
      <c r="A5" s="2" t="s">
        <v>111</v>
      </c>
      <c r="B5" s="2" t="s">
        <v>21</v>
      </c>
      <c r="C5" s="2">
        <v>4</v>
      </c>
      <c r="D5" s="2">
        <v>0</v>
      </c>
      <c r="E5" s="2">
        <v>4</v>
      </c>
      <c r="F5" s="2" t="str">
        <f t="shared" si="0"/>
        <v>0th</v>
      </c>
    </row>
    <row r="6" spans="1:6" x14ac:dyDescent="0.2">
      <c r="A6" s="2" t="s">
        <v>111</v>
      </c>
      <c r="B6" s="2" t="s">
        <v>21</v>
      </c>
      <c r="C6" s="2">
        <v>5</v>
      </c>
      <c r="D6" s="2">
        <v>0</v>
      </c>
      <c r="E6" s="2">
        <v>5</v>
      </c>
      <c r="F6" s="2" t="str">
        <f t="shared" si="0"/>
        <v>0th</v>
      </c>
    </row>
    <row r="7" spans="1:6" x14ac:dyDescent="0.2">
      <c r="A7" s="2" t="s">
        <v>111</v>
      </c>
      <c r="B7" s="2" t="s">
        <v>21</v>
      </c>
      <c r="C7" s="2">
        <v>6</v>
      </c>
      <c r="D7" s="2">
        <v>0.1</v>
      </c>
      <c r="E7" s="2">
        <v>6</v>
      </c>
      <c r="F7" s="2" t="str">
        <f t="shared" si="0"/>
        <v>0th</v>
      </c>
    </row>
    <row r="8" spans="1:6" x14ac:dyDescent="0.2">
      <c r="A8" s="2" t="s">
        <v>111</v>
      </c>
      <c r="B8" s="2" t="s">
        <v>21</v>
      </c>
      <c r="C8" s="2">
        <v>7</v>
      </c>
      <c r="D8" s="2">
        <v>0.3</v>
      </c>
      <c r="E8" s="2">
        <v>7</v>
      </c>
      <c r="F8" s="2" t="str">
        <f t="shared" si="0"/>
        <v>0th</v>
      </c>
    </row>
    <row r="9" spans="1:6" x14ac:dyDescent="0.2">
      <c r="A9" s="2" t="s">
        <v>111</v>
      </c>
      <c r="B9" s="2" t="s">
        <v>21</v>
      </c>
      <c r="C9" s="2">
        <v>8</v>
      </c>
      <c r="D9" s="2">
        <v>0.6</v>
      </c>
      <c r="E9" s="2">
        <v>8</v>
      </c>
      <c r="F9" s="2" t="str">
        <f t="shared" si="0"/>
        <v>1st</v>
      </c>
    </row>
    <row r="10" spans="1:6" x14ac:dyDescent="0.2">
      <c r="A10" s="2" t="s">
        <v>111</v>
      </c>
      <c r="B10" s="2" t="s">
        <v>21</v>
      </c>
      <c r="C10" s="2">
        <v>9</v>
      </c>
      <c r="D10" s="2">
        <v>1</v>
      </c>
      <c r="E10" s="2">
        <v>9</v>
      </c>
      <c r="F10" s="2" t="str">
        <f t="shared" si="0"/>
        <v>1st</v>
      </c>
    </row>
    <row r="11" spans="1:6" x14ac:dyDescent="0.2">
      <c r="A11" s="2" t="s">
        <v>111</v>
      </c>
      <c r="B11" s="2" t="s">
        <v>21</v>
      </c>
      <c r="C11" s="2">
        <v>10</v>
      </c>
      <c r="D11" s="2">
        <v>1.5</v>
      </c>
      <c r="E11" s="2">
        <v>10</v>
      </c>
      <c r="F11" s="2" t="str">
        <f t="shared" si="0"/>
        <v>2nd</v>
      </c>
    </row>
    <row r="12" spans="1:6" x14ac:dyDescent="0.2">
      <c r="A12" s="2" t="s">
        <v>111</v>
      </c>
      <c r="B12" s="2" t="s">
        <v>21</v>
      </c>
      <c r="C12" s="2">
        <v>11</v>
      </c>
      <c r="D12" s="2">
        <v>2.2000000000000002</v>
      </c>
      <c r="E12" s="2">
        <v>11</v>
      </c>
      <c r="F12" s="2" t="str">
        <f t="shared" si="0"/>
        <v>2nd</v>
      </c>
    </row>
    <row r="13" spans="1:6" x14ac:dyDescent="0.2">
      <c r="A13" s="2" t="s">
        <v>111</v>
      </c>
      <c r="B13" s="2" t="s">
        <v>21</v>
      </c>
      <c r="C13" s="2">
        <v>12</v>
      </c>
      <c r="D13" s="2">
        <v>3.1</v>
      </c>
      <c r="E13" s="2">
        <v>12</v>
      </c>
      <c r="F13" s="2" t="str">
        <f t="shared" si="0"/>
        <v>3rd</v>
      </c>
    </row>
    <row r="14" spans="1:6" x14ac:dyDescent="0.2">
      <c r="A14" s="2" t="s">
        <v>111</v>
      </c>
      <c r="B14" s="2" t="s">
        <v>21</v>
      </c>
      <c r="C14" s="2">
        <v>13</v>
      </c>
      <c r="D14" s="2">
        <v>4.2</v>
      </c>
      <c r="E14" s="2">
        <v>13</v>
      </c>
      <c r="F14" s="2" t="str">
        <f t="shared" si="0"/>
        <v>4th</v>
      </c>
    </row>
    <row r="15" spans="1:6" x14ac:dyDescent="0.2">
      <c r="A15" s="2" t="s">
        <v>111</v>
      </c>
      <c r="B15" s="2" t="s">
        <v>21</v>
      </c>
      <c r="C15" s="2">
        <v>14</v>
      </c>
      <c r="D15" s="2">
        <v>5.5</v>
      </c>
      <c r="E15" s="2">
        <v>14</v>
      </c>
      <c r="F15" s="2" t="str">
        <f t="shared" si="0"/>
        <v>6th</v>
      </c>
    </row>
    <row r="16" spans="1:6" x14ac:dyDescent="0.2">
      <c r="A16" s="2" t="s">
        <v>111</v>
      </c>
      <c r="B16" s="2" t="s">
        <v>21</v>
      </c>
      <c r="C16" s="2">
        <v>15</v>
      </c>
      <c r="D16" s="2">
        <v>7.2</v>
      </c>
      <c r="E16" s="2">
        <v>15</v>
      </c>
      <c r="F16" s="2" t="str">
        <f t="shared" si="0"/>
        <v>7th</v>
      </c>
    </row>
    <row r="17" spans="1:6" x14ac:dyDescent="0.2">
      <c r="A17" s="2" t="s">
        <v>111</v>
      </c>
      <c r="B17" s="2" t="s">
        <v>21</v>
      </c>
      <c r="C17" s="2">
        <v>16</v>
      </c>
      <c r="D17" s="2">
        <v>9.1999999999999993</v>
      </c>
      <c r="E17" s="2">
        <v>16</v>
      </c>
      <c r="F17" s="2" t="str">
        <f t="shared" si="0"/>
        <v>9th</v>
      </c>
    </row>
    <row r="18" spans="1:6" x14ac:dyDescent="0.2">
      <c r="A18" s="2" t="s">
        <v>111</v>
      </c>
      <c r="B18" s="2" t="s">
        <v>21</v>
      </c>
      <c r="C18" s="2">
        <v>17</v>
      </c>
      <c r="D18" s="2">
        <v>11.5</v>
      </c>
      <c r="E18" s="2">
        <v>17</v>
      </c>
      <c r="F18" s="2" t="str">
        <f t="shared" ref="F18:F46" si="1">IF(RIGHT(ROUND(D18,0),2)="13",ROUND(D18,0)&amp;"th",IF(RIGHT(ROUND(D18,0),2)="12",ROUND(D18,0)&amp;"th",IF(RIGHT(ROUND(D18,0),2)="11",ROUND(D18,0)&amp;"th",IF(RIGHT(ROUND(D18,0),1)="1",ROUND(D18,0)&amp;"st",IF(RIGHT(ROUND(D18,0),1)="2",ROUND(D18,0)&amp;"nd",IF(RIGHT(ROUND(D18,0),1)="3",ROUND(D18,0)&amp;"rd",ROUND(D18,0)&amp;"th"))))))</f>
        <v>12th</v>
      </c>
    </row>
    <row r="19" spans="1:6" x14ac:dyDescent="0.2">
      <c r="A19" s="2" t="s">
        <v>111</v>
      </c>
      <c r="B19" s="2" t="s">
        <v>21</v>
      </c>
      <c r="C19" s="2">
        <v>18</v>
      </c>
      <c r="D19" s="2">
        <v>14.2</v>
      </c>
      <c r="E19" s="2">
        <v>18</v>
      </c>
      <c r="F19" s="2" t="str">
        <f t="shared" si="1"/>
        <v>14th</v>
      </c>
    </row>
    <row r="20" spans="1:6" x14ac:dyDescent="0.2">
      <c r="A20" s="2" t="s">
        <v>111</v>
      </c>
      <c r="B20" s="2" t="s">
        <v>21</v>
      </c>
      <c r="C20" s="2">
        <v>19</v>
      </c>
      <c r="D20" s="2">
        <v>17.399999999999999</v>
      </c>
      <c r="E20" s="2">
        <v>19</v>
      </c>
      <c r="F20" s="2" t="str">
        <f t="shared" si="1"/>
        <v>17th</v>
      </c>
    </row>
    <row r="21" spans="1:6" x14ac:dyDescent="0.2">
      <c r="A21" s="2" t="s">
        <v>111</v>
      </c>
      <c r="B21" s="2" t="s">
        <v>21</v>
      </c>
      <c r="C21" s="2">
        <v>20</v>
      </c>
      <c r="D21" s="2">
        <v>21.1</v>
      </c>
      <c r="E21" s="2">
        <v>20</v>
      </c>
      <c r="F21" s="2" t="str">
        <f t="shared" si="1"/>
        <v>21st</v>
      </c>
    </row>
    <row r="22" spans="1:6" x14ac:dyDescent="0.2">
      <c r="A22" s="2" t="s">
        <v>111</v>
      </c>
      <c r="B22" s="2" t="s">
        <v>21</v>
      </c>
      <c r="C22" s="2">
        <v>21</v>
      </c>
      <c r="D22" s="2">
        <v>25.3</v>
      </c>
      <c r="E22" s="2">
        <v>21</v>
      </c>
      <c r="F22" s="2" t="str">
        <f t="shared" si="1"/>
        <v>25th</v>
      </c>
    </row>
    <row r="23" spans="1:6" x14ac:dyDescent="0.2">
      <c r="A23" s="2" t="s">
        <v>111</v>
      </c>
      <c r="B23" s="2" t="s">
        <v>21</v>
      </c>
      <c r="C23" s="2">
        <v>22</v>
      </c>
      <c r="D23" s="2">
        <v>29.9</v>
      </c>
      <c r="E23" s="2">
        <v>22</v>
      </c>
      <c r="F23" s="2" t="str">
        <f t="shared" si="1"/>
        <v>30th</v>
      </c>
    </row>
    <row r="24" spans="1:6" x14ac:dyDescent="0.2">
      <c r="A24" s="2" t="s">
        <v>111</v>
      </c>
      <c r="B24" s="2" t="s">
        <v>21</v>
      </c>
      <c r="C24" s="2">
        <v>23</v>
      </c>
      <c r="D24" s="2">
        <v>35.1</v>
      </c>
      <c r="E24" s="2">
        <v>23</v>
      </c>
      <c r="F24" s="2" t="str">
        <f t="shared" si="1"/>
        <v>35th</v>
      </c>
    </row>
    <row r="25" spans="1:6" x14ac:dyDescent="0.2">
      <c r="A25" s="2" t="s">
        <v>111</v>
      </c>
      <c r="B25" s="2" t="s">
        <v>21</v>
      </c>
      <c r="C25" s="2">
        <v>24</v>
      </c>
      <c r="D25" s="2">
        <v>40.799999999999997</v>
      </c>
      <c r="E25" s="2">
        <v>24</v>
      </c>
      <c r="F25" s="2" t="str">
        <f t="shared" si="1"/>
        <v>41st</v>
      </c>
    </row>
    <row r="26" spans="1:6" x14ac:dyDescent="0.2">
      <c r="A26" s="2" t="s">
        <v>111</v>
      </c>
      <c r="B26" s="2" t="s">
        <v>21</v>
      </c>
      <c r="C26" s="2">
        <v>25</v>
      </c>
      <c r="D26" s="2">
        <v>46.9</v>
      </c>
      <c r="E26" s="2">
        <v>25</v>
      </c>
      <c r="F26" s="2" t="str">
        <f t="shared" si="1"/>
        <v>47th</v>
      </c>
    </row>
    <row r="27" spans="1:6" x14ac:dyDescent="0.2">
      <c r="A27" s="2" t="s">
        <v>111</v>
      </c>
      <c r="B27" s="2" t="s">
        <v>21</v>
      </c>
      <c r="C27" s="2">
        <v>26</v>
      </c>
      <c r="D27" s="2">
        <v>53.1</v>
      </c>
      <c r="E27" s="2">
        <v>26</v>
      </c>
      <c r="F27" s="2" t="str">
        <f t="shared" si="1"/>
        <v>53rd</v>
      </c>
    </row>
    <row r="28" spans="1:6" x14ac:dyDescent="0.2">
      <c r="A28" s="2" t="s">
        <v>111</v>
      </c>
      <c r="B28" s="2" t="s">
        <v>21</v>
      </c>
      <c r="C28" s="2">
        <v>27</v>
      </c>
      <c r="D28" s="2">
        <v>59.3</v>
      </c>
      <c r="E28" s="2">
        <v>27</v>
      </c>
      <c r="F28" s="2" t="str">
        <f t="shared" si="1"/>
        <v>59th</v>
      </c>
    </row>
    <row r="29" spans="1:6" x14ac:dyDescent="0.2">
      <c r="A29" s="2" t="s">
        <v>111</v>
      </c>
      <c r="B29" s="2" t="s">
        <v>21</v>
      </c>
      <c r="C29" s="2">
        <v>28</v>
      </c>
      <c r="D29" s="2">
        <v>65.5</v>
      </c>
      <c r="E29" s="2">
        <v>28</v>
      </c>
      <c r="F29" s="2" t="str">
        <f t="shared" si="1"/>
        <v>66th</v>
      </c>
    </row>
    <row r="30" spans="1:6" x14ac:dyDescent="0.2">
      <c r="A30" s="2" t="s">
        <v>111</v>
      </c>
      <c r="B30" s="2" t="s">
        <v>21</v>
      </c>
      <c r="C30" s="2">
        <v>29</v>
      </c>
      <c r="D30" s="2">
        <v>71.400000000000006</v>
      </c>
      <c r="E30" s="2">
        <v>29</v>
      </c>
      <c r="F30" s="2" t="str">
        <f t="shared" si="1"/>
        <v>71st</v>
      </c>
    </row>
    <row r="31" spans="1:6" x14ac:dyDescent="0.2">
      <c r="A31" s="2" t="s">
        <v>111</v>
      </c>
      <c r="B31" s="2" t="s">
        <v>21</v>
      </c>
      <c r="C31" s="2">
        <v>30</v>
      </c>
      <c r="D31" s="2">
        <v>76.900000000000006</v>
      </c>
      <c r="E31" s="2">
        <v>30</v>
      </c>
      <c r="F31" s="2" t="str">
        <f t="shared" si="1"/>
        <v>77th</v>
      </c>
    </row>
    <row r="32" spans="1:6" x14ac:dyDescent="0.2">
      <c r="A32" s="2" t="s">
        <v>111</v>
      </c>
      <c r="B32" s="2" t="s">
        <v>21</v>
      </c>
      <c r="C32" s="2">
        <v>31</v>
      </c>
      <c r="D32" s="2">
        <v>81.8</v>
      </c>
      <c r="E32" s="2">
        <v>31</v>
      </c>
      <c r="F32" s="2" t="str">
        <f t="shared" si="1"/>
        <v>82nd</v>
      </c>
    </row>
    <row r="33" spans="1:6" x14ac:dyDescent="0.2">
      <c r="A33" s="2" t="s">
        <v>111</v>
      </c>
      <c r="B33" s="2" t="s">
        <v>21</v>
      </c>
      <c r="C33" s="2">
        <v>32</v>
      </c>
      <c r="D33" s="2">
        <v>86</v>
      </c>
      <c r="E33" s="2">
        <v>32</v>
      </c>
      <c r="F33" s="2" t="str">
        <f t="shared" si="1"/>
        <v>86th</v>
      </c>
    </row>
    <row r="34" spans="1:6" x14ac:dyDescent="0.2">
      <c r="A34" s="2" t="s">
        <v>111</v>
      </c>
      <c r="B34" s="2" t="s">
        <v>21</v>
      </c>
      <c r="C34" s="2">
        <v>33</v>
      </c>
      <c r="D34" s="2">
        <v>89.6</v>
      </c>
      <c r="E34" s="2">
        <v>33</v>
      </c>
      <c r="F34" s="2" t="str">
        <f t="shared" si="1"/>
        <v>90th</v>
      </c>
    </row>
    <row r="35" spans="1:6" x14ac:dyDescent="0.2">
      <c r="A35" s="2" t="s">
        <v>111</v>
      </c>
      <c r="B35" s="2" t="s">
        <v>21</v>
      </c>
      <c r="C35" s="2">
        <v>34</v>
      </c>
      <c r="D35" s="2">
        <v>92.4</v>
      </c>
      <c r="E35" s="2">
        <v>34</v>
      </c>
      <c r="F35" s="2" t="str">
        <f t="shared" si="1"/>
        <v>92nd</v>
      </c>
    </row>
    <row r="36" spans="1:6" x14ac:dyDescent="0.2">
      <c r="A36" s="2" t="s">
        <v>111</v>
      </c>
      <c r="B36" s="2" t="s">
        <v>21</v>
      </c>
      <c r="C36" s="2">
        <v>35</v>
      </c>
      <c r="D36" s="2">
        <v>94.7</v>
      </c>
      <c r="E36" s="2">
        <v>35</v>
      </c>
      <c r="F36" s="2" t="str">
        <f t="shared" si="1"/>
        <v>95th</v>
      </c>
    </row>
    <row r="37" spans="1:6" x14ac:dyDescent="0.2">
      <c r="A37" s="2" t="s">
        <v>111</v>
      </c>
      <c r="B37" s="2" t="s">
        <v>21</v>
      </c>
      <c r="C37" s="2">
        <v>36</v>
      </c>
      <c r="D37" s="2">
        <v>96.5</v>
      </c>
      <c r="E37" s="2">
        <v>36</v>
      </c>
      <c r="F37" s="2" t="str">
        <f t="shared" si="1"/>
        <v>97th</v>
      </c>
    </row>
    <row r="38" spans="1:6" x14ac:dyDescent="0.2">
      <c r="A38" s="2" t="s">
        <v>111</v>
      </c>
      <c r="B38" s="2" t="s">
        <v>21</v>
      </c>
      <c r="C38" s="2">
        <v>37</v>
      </c>
      <c r="D38" s="2">
        <v>97.8</v>
      </c>
      <c r="E38" s="2">
        <v>37</v>
      </c>
      <c r="F38" s="2" t="str">
        <f t="shared" si="1"/>
        <v>98th</v>
      </c>
    </row>
    <row r="39" spans="1:6" x14ac:dyDescent="0.2">
      <c r="A39" s="2" t="s">
        <v>111</v>
      </c>
      <c r="B39" s="2" t="s">
        <v>21</v>
      </c>
      <c r="C39" s="2">
        <v>38</v>
      </c>
      <c r="D39" s="2">
        <v>98.7</v>
      </c>
      <c r="E39" s="2">
        <v>38</v>
      </c>
      <c r="F39" s="2" t="str">
        <f t="shared" si="1"/>
        <v>99th</v>
      </c>
    </row>
    <row r="40" spans="1:6" x14ac:dyDescent="0.2">
      <c r="A40" s="2" t="s">
        <v>111</v>
      </c>
      <c r="B40" s="2" t="s">
        <v>21</v>
      </c>
      <c r="C40" s="2">
        <v>39</v>
      </c>
      <c r="D40" s="2">
        <v>99.3</v>
      </c>
      <c r="E40" s="2">
        <v>39</v>
      </c>
      <c r="F40" s="2" t="str">
        <f t="shared" si="1"/>
        <v>99th</v>
      </c>
    </row>
    <row r="41" spans="1:6" x14ac:dyDescent="0.2">
      <c r="A41" s="2" t="s">
        <v>111</v>
      </c>
      <c r="B41" s="2" t="s">
        <v>21</v>
      </c>
      <c r="C41" s="2">
        <v>40</v>
      </c>
      <c r="D41" s="2">
        <v>99.6</v>
      </c>
      <c r="E41" s="2">
        <v>40</v>
      </c>
      <c r="F41" s="2" t="str">
        <f t="shared" si="1"/>
        <v>100th</v>
      </c>
    </row>
    <row r="42" spans="1:6" x14ac:dyDescent="0.2">
      <c r="A42" s="2" t="s">
        <v>111</v>
      </c>
      <c r="B42" s="2" t="s">
        <v>21</v>
      </c>
      <c r="C42" s="2">
        <v>41</v>
      </c>
      <c r="D42" s="2">
        <v>99.9</v>
      </c>
      <c r="E42" s="2">
        <v>41</v>
      </c>
      <c r="F42" s="2" t="str">
        <f t="shared" si="1"/>
        <v>100th</v>
      </c>
    </row>
    <row r="43" spans="1:6" x14ac:dyDescent="0.2">
      <c r="A43" s="2" t="s">
        <v>111</v>
      </c>
      <c r="B43" s="2" t="s">
        <v>21</v>
      </c>
      <c r="C43" s="2">
        <v>42</v>
      </c>
      <c r="D43" s="2">
        <v>99.9</v>
      </c>
      <c r="E43" s="2">
        <v>42</v>
      </c>
      <c r="F43" s="2" t="str">
        <f t="shared" si="1"/>
        <v>100th</v>
      </c>
    </row>
    <row r="44" spans="1:6" x14ac:dyDescent="0.2">
      <c r="A44" s="2" t="s">
        <v>111</v>
      </c>
      <c r="B44" s="2" t="s">
        <v>21</v>
      </c>
      <c r="C44" s="2">
        <v>43</v>
      </c>
      <c r="D44" s="2">
        <v>99.9</v>
      </c>
      <c r="E44" s="2">
        <v>43</v>
      </c>
      <c r="F44" s="2" t="str">
        <f t="shared" si="1"/>
        <v>100th</v>
      </c>
    </row>
    <row r="45" spans="1:6" x14ac:dyDescent="0.2">
      <c r="A45" s="2" t="s">
        <v>111</v>
      </c>
      <c r="B45" s="2" t="s">
        <v>21</v>
      </c>
      <c r="C45" s="2">
        <v>44</v>
      </c>
      <c r="D45" s="2">
        <v>99.9</v>
      </c>
      <c r="E45" s="2">
        <v>44</v>
      </c>
      <c r="F45" s="2" t="str">
        <f t="shared" si="1"/>
        <v>100th</v>
      </c>
    </row>
    <row r="46" spans="1:6" x14ac:dyDescent="0.2">
      <c r="A46" s="2" t="s">
        <v>111</v>
      </c>
      <c r="B46" s="2" t="s">
        <v>21</v>
      </c>
      <c r="C46" s="2">
        <v>45</v>
      </c>
      <c r="D46" s="2">
        <v>99.9</v>
      </c>
      <c r="E46" s="2">
        <v>45</v>
      </c>
      <c r="F46" s="2" t="str">
        <f t="shared" si="1"/>
        <v>100th</v>
      </c>
    </row>
    <row r="47" spans="1:6" x14ac:dyDescent="0.2">
      <c r="A47" s="2" t="s">
        <v>111</v>
      </c>
      <c r="B47" s="2" t="s">
        <v>3</v>
      </c>
      <c r="C47" s="2">
        <v>0</v>
      </c>
      <c r="D47" s="2">
        <v>0.1</v>
      </c>
      <c r="E47" s="2">
        <v>1</v>
      </c>
      <c r="F47" s="2" t="str">
        <f t="shared" ref="F47:F102" si="2">IF(RIGHT(ROUND(D47,0),2)="13",ROUND(D47,0)&amp;"th",IF(RIGHT(ROUND(D47,0),2)="12",ROUND(D47,0)&amp;"th",IF(RIGHT(ROUND(D47,0),2)="11",ROUND(D47,0)&amp;"th",IF(RIGHT(ROUND(D47,0),1)="1",ROUND(D47,0)&amp;"st",IF(RIGHT(ROUND(D47,0),1)="2",ROUND(D47,0)&amp;"nd",IF(RIGHT(ROUND(D47,0),1)="3",ROUND(D47,0)&amp;"rd",ROUND(D47,0)&amp;"th"))))))</f>
        <v>0th</v>
      </c>
    </row>
    <row r="48" spans="1:6" x14ac:dyDescent="0.2">
      <c r="A48" s="2" t="s">
        <v>111</v>
      </c>
      <c r="B48" s="2" t="s">
        <v>3</v>
      </c>
      <c r="C48" s="2">
        <v>1</v>
      </c>
      <c r="D48" s="2">
        <v>0.1</v>
      </c>
      <c r="E48" s="2">
        <v>1</v>
      </c>
      <c r="F48" s="2" t="str">
        <f t="shared" si="2"/>
        <v>0th</v>
      </c>
    </row>
    <row r="49" spans="1:6" x14ac:dyDescent="0.2">
      <c r="A49" s="2" t="s">
        <v>111</v>
      </c>
      <c r="B49" s="2" t="s">
        <v>3</v>
      </c>
      <c r="C49" s="2">
        <v>2</v>
      </c>
      <c r="D49" s="2">
        <v>0.1</v>
      </c>
      <c r="E49" s="2">
        <v>1</v>
      </c>
      <c r="F49" s="2" t="str">
        <f t="shared" si="2"/>
        <v>0th</v>
      </c>
    </row>
    <row r="50" spans="1:6" x14ac:dyDescent="0.2">
      <c r="A50" s="2" t="s">
        <v>111</v>
      </c>
      <c r="B50" s="2" t="s">
        <v>3</v>
      </c>
      <c r="C50" s="2">
        <v>3</v>
      </c>
      <c r="D50" s="2">
        <v>0.1</v>
      </c>
      <c r="E50" s="2">
        <v>1</v>
      </c>
      <c r="F50" s="2" t="str">
        <f t="shared" si="2"/>
        <v>0th</v>
      </c>
    </row>
    <row r="51" spans="1:6" x14ac:dyDescent="0.2">
      <c r="A51" s="2" t="s">
        <v>111</v>
      </c>
      <c r="B51" s="2" t="s">
        <v>3</v>
      </c>
      <c r="C51" s="2">
        <v>4</v>
      </c>
      <c r="D51" s="2">
        <v>0.1</v>
      </c>
      <c r="E51" s="2">
        <v>1</v>
      </c>
      <c r="F51" s="2" t="str">
        <f t="shared" si="2"/>
        <v>0th</v>
      </c>
    </row>
    <row r="52" spans="1:6" x14ac:dyDescent="0.2">
      <c r="A52" s="2" t="s">
        <v>111</v>
      </c>
      <c r="B52" s="2" t="s">
        <v>3</v>
      </c>
      <c r="C52" s="2">
        <v>5</v>
      </c>
      <c r="D52" s="2">
        <v>0.1</v>
      </c>
      <c r="E52" s="2">
        <v>1</v>
      </c>
      <c r="F52" s="2" t="str">
        <f t="shared" si="2"/>
        <v>0th</v>
      </c>
    </row>
    <row r="53" spans="1:6" x14ac:dyDescent="0.2">
      <c r="A53" s="2" t="s">
        <v>111</v>
      </c>
      <c r="B53" s="2" t="s">
        <v>3</v>
      </c>
      <c r="C53" s="2">
        <v>6</v>
      </c>
      <c r="D53" s="2">
        <v>0.3</v>
      </c>
      <c r="E53" s="2">
        <v>2</v>
      </c>
      <c r="F53" s="2" t="str">
        <f t="shared" si="2"/>
        <v>0th</v>
      </c>
    </row>
    <row r="54" spans="1:6" x14ac:dyDescent="0.2">
      <c r="A54" s="2" t="s">
        <v>111</v>
      </c>
      <c r="B54" s="2" t="s">
        <v>3</v>
      </c>
      <c r="C54" s="2">
        <v>7</v>
      </c>
      <c r="D54" s="2">
        <v>0.3</v>
      </c>
      <c r="E54" s="2">
        <v>2</v>
      </c>
      <c r="F54" s="2" t="str">
        <f t="shared" si="2"/>
        <v>0th</v>
      </c>
    </row>
    <row r="55" spans="1:6" x14ac:dyDescent="0.2">
      <c r="A55" s="2" t="s">
        <v>111</v>
      </c>
      <c r="B55" s="2" t="s">
        <v>3</v>
      </c>
      <c r="C55" s="2">
        <v>8</v>
      </c>
      <c r="D55" s="2">
        <v>0.3</v>
      </c>
      <c r="E55" s="2">
        <v>2</v>
      </c>
      <c r="F55" s="2" t="str">
        <f t="shared" si="2"/>
        <v>0th</v>
      </c>
    </row>
    <row r="56" spans="1:6" x14ac:dyDescent="0.2">
      <c r="A56" s="2" t="s">
        <v>111</v>
      </c>
      <c r="B56" s="2" t="s">
        <v>3</v>
      </c>
      <c r="C56" s="2">
        <v>9</v>
      </c>
      <c r="D56" s="2">
        <v>0.3</v>
      </c>
      <c r="E56" s="2">
        <v>2</v>
      </c>
      <c r="F56" s="2" t="str">
        <f t="shared" si="2"/>
        <v>0th</v>
      </c>
    </row>
    <row r="57" spans="1:6" x14ac:dyDescent="0.2">
      <c r="A57" s="2" t="s">
        <v>111</v>
      </c>
      <c r="B57" s="2" t="s">
        <v>3</v>
      </c>
      <c r="C57" s="2">
        <v>10</v>
      </c>
      <c r="D57" s="2">
        <v>0.3</v>
      </c>
      <c r="E57" s="2">
        <v>2</v>
      </c>
      <c r="F57" s="2" t="str">
        <f t="shared" si="2"/>
        <v>0th</v>
      </c>
    </row>
    <row r="58" spans="1:6" x14ac:dyDescent="0.2">
      <c r="A58" s="2" t="s">
        <v>111</v>
      </c>
      <c r="B58" s="2" t="s">
        <v>3</v>
      </c>
      <c r="C58" s="2">
        <v>11</v>
      </c>
      <c r="D58" s="2">
        <v>0.3</v>
      </c>
      <c r="E58" s="2">
        <v>2</v>
      </c>
      <c r="F58" s="2" t="str">
        <f t="shared" si="2"/>
        <v>0th</v>
      </c>
    </row>
    <row r="59" spans="1:6" x14ac:dyDescent="0.2">
      <c r="A59" s="2" t="s">
        <v>111</v>
      </c>
      <c r="B59" s="2" t="s">
        <v>3</v>
      </c>
      <c r="C59" s="2">
        <v>12</v>
      </c>
      <c r="D59" s="2">
        <v>1.2</v>
      </c>
      <c r="E59" s="2">
        <v>3</v>
      </c>
      <c r="F59" s="2" t="str">
        <f t="shared" si="2"/>
        <v>1st</v>
      </c>
    </row>
    <row r="60" spans="1:6" x14ac:dyDescent="0.2">
      <c r="A60" s="2" t="s">
        <v>111</v>
      </c>
      <c r="B60" s="2" t="s">
        <v>3</v>
      </c>
      <c r="C60" s="2">
        <v>13</v>
      </c>
      <c r="D60" s="2">
        <v>1.2</v>
      </c>
      <c r="E60" s="2">
        <v>3</v>
      </c>
      <c r="F60" s="2" t="str">
        <f t="shared" si="2"/>
        <v>1st</v>
      </c>
    </row>
    <row r="61" spans="1:6" x14ac:dyDescent="0.2">
      <c r="A61" s="2" t="s">
        <v>111</v>
      </c>
      <c r="B61" s="2" t="s">
        <v>3</v>
      </c>
      <c r="C61" s="2">
        <v>14</v>
      </c>
      <c r="D61" s="2">
        <v>1.2</v>
      </c>
      <c r="E61" s="2">
        <v>3</v>
      </c>
      <c r="F61" s="2" t="str">
        <f t="shared" si="2"/>
        <v>1st</v>
      </c>
    </row>
    <row r="62" spans="1:6" x14ac:dyDescent="0.2">
      <c r="A62" s="2" t="s">
        <v>111</v>
      </c>
      <c r="B62" s="2" t="s">
        <v>3</v>
      </c>
      <c r="C62" s="2">
        <v>15</v>
      </c>
      <c r="D62" s="2">
        <v>3.4</v>
      </c>
      <c r="E62" s="2">
        <v>4</v>
      </c>
      <c r="F62" s="2" t="str">
        <f t="shared" si="2"/>
        <v>3rd</v>
      </c>
    </row>
    <row r="63" spans="1:6" x14ac:dyDescent="0.2">
      <c r="A63" s="2" t="s">
        <v>111</v>
      </c>
      <c r="B63" s="2" t="s">
        <v>3</v>
      </c>
      <c r="C63" s="2">
        <v>16</v>
      </c>
      <c r="D63" s="2">
        <v>3.4</v>
      </c>
      <c r="E63" s="2">
        <v>4</v>
      </c>
      <c r="F63" s="2" t="str">
        <f t="shared" si="2"/>
        <v>3rd</v>
      </c>
    </row>
    <row r="64" spans="1:6" x14ac:dyDescent="0.2">
      <c r="A64" s="2" t="s">
        <v>111</v>
      </c>
      <c r="B64" s="2" t="s">
        <v>3</v>
      </c>
      <c r="C64" s="2">
        <v>17</v>
      </c>
      <c r="D64" s="2">
        <v>8.1</v>
      </c>
      <c r="E64" s="2">
        <v>5</v>
      </c>
      <c r="F64" s="2" t="str">
        <f t="shared" si="2"/>
        <v>8th</v>
      </c>
    </row>
    <row r="65" spans="1:6" x14ac:dyDescent="0.2">
      <c r="A65" s="2" t="s">
        <v>111</v>
      </c>
      <c r="B65" s="2" t="s">
        <v>3</v>
      </c>
      <c r="C65" s="2">
        <v>18</v>
      </c>
      <c r="D65" s="2">
        <v>8.1</v>
      </c>
      <c r="E65" s="2">
        <v>5</v>
      </c>
      <c r="F65" s="2" t="str">
        <f t="shared" si="2"/>
        <v>8th</v>
      </c>
    </row>
    <row r="66" spans="1:6" x14ac:dyDescent="0.2">
      <c r="A66" s="2" t="s">
        <v>111</v>
      </c>
      <c r="B66" s="2" t="s">
        <v>3</v>
      </c>
      <c r="C66" s="2">
        <v>19</v>
      </c>
      <c r="D66" s="2">
        <v>17.399999999999999</v>
      </c>
      <c r="E66" s="2">
        <v>6</v>
      </c>
      <c r="F66" s="2" t="str">
        <f t="shared" si="2"/>
        <v>17th</v>
      </c>
    </row>
    <row r="67" spans="1:6" x14ac:dyDescent="0.2">
      <c r="A67" s="2" t="s">
        <v>111</v>
      </c>
      <c r="B67" s="2" t="s">
        <v>3</v>
      </c>
      <c r="C67" s="2">
        <v>20</v>
      </c>
      <c r="D67" s="2">
        <v>17.399999999999999</v>
      </c>
      <c r="E67" s="2">
        <v>6</v>
      </c>
      <c r="F67" s="2" t="str">
        <f t="shared" si="2"/>
        <v>17th</v>
      </c>
    </row>
    <row r="68" spans="1:6" x14ac:dyDescent="0.2">
      <c r="A68" s="2" t="s">
        <v>111</v>
      </c>
      <c r="B68" s="2" t="s">
        <v>3</v>
      </c>
      <c r="C68" s="2">
        <v>21</v>
      </c>
      <c r="D68" s="2">
        <v>31</v>
      </c>
      <c r="E68" s="2">
        <v>7</v>
      </c>
      <c r="F68" s="2" t="str">
        <f t="shared" si="2"/>
        <v>31st</v>
      </c>
    </row>
    <row r="69" spans="1:6" x14ac:dyDescent="0.2">
      <c r="A69" s="2" t="s">
        <v>111</v>
      </c>
      <c r="B69" s="2" t="s">
        <v>3</v>
      </c>
      <c r="C69" s="2">
        <v>22</v>
      </c>
      <c r="D69" s="2">
        <v>31</v>
      </c>
      <c r="E69" s="2">
        <v>7</v>
      </c>
      <c r="F69" s="2" t="str">
        <f t="shared" si="2"/>
        <v>31st</v>
      </c>
    </row>
    <row r="70" spans="1:6" x14ac:dyDescent="0.2">
      <c r="A70" s="2" t="s">
        <v>111</v>
      </c>
      <c r="B70" s="2" t="s">
        <v>3</v>
      </c>
      <c r="C70" s="2">
        <v>23</v>
      </c>
      <c r="D70" s="2">
        <v>31</v>
      </c>
      <c r="E70" s="2">
        <v>7</v>
      </c>
      <c r="F70" s="2" t="str">
        <f t="shared" si="2"/>
        <v>31st</v>
      </c>
    </row>
    <row r="71" spans="1:6" x14ac:dyDescent="0.2">
      <c r="A71" s="2" t="s">
        <v>111</v>
      </c>
      <c r="B71" s="2" t="s">
        <v>3</v>
      </c>
      <c r="C71" s="2">
        <v>24</v>
      </c>
      <c r="D71" s="2">
        <v>47.6</v>
      </c>
      <c r="E71" s="2">
        <v>8</v>
      </c>
      <c r="F71" s="2" t="str">
        <f t="shared" si="2"/>
        <v>48th</v>
      </c>
    </row>
    <row r="72" spans="1:6" x14ac:dyDescent="0.2">
      <c r="A72" s="2" t="s">
        <v>111</v>
      </c>
      <c r="B72" s="2" t="s">
        <v>3</v>
      </c>
      <c r="C72" s="2">
        <v>25</v>
      </c>
      <c r="D72" s="2">
        <v>47.6</v>
      </c>
      <c r="E72" s="2">
        <v>8</v>
      </c>
      <c r="F72" s="2" t="str">
        <f t="shared" si="2"/>
        <v>48th</v>
      </c>
    </row>
    <row r="73" spans="1:6" x14ac:dyDescent="0.2">
      <c r="A73" s="2" t="s">
        <v>111</v>
      </c>
      <c r="B73" s="2" t="s">
        <v>3</v>
      </c>
      <c r="C73" s="2">
        <v>26</v>
      </c>
      <c r="D73" s="2">
        <v>47.6</v>
      </c>
      <c r="E73" s="2">
        <v>8</v>
      </c>
      <c r="F73" s="2" t="str">
        <f t="shared" si="2"/>
        <v>48th</v>
      </c>
    </row>
    <row r="74" spans="1:6" x14ac:dyDescent="0.2">
      <c r="A74" s="2" t="s">
        <v>111</v>
      </c>
      <c r="B74" s="2" t="s">
        <v>3</v>
      </c>
      <c r="C74" s="2">
        <v>27</v>
      </c>
      <c r="D74" s="2">
        <v>61.6</v>
      </c>
      <c r="E74" s="2">
        <v>9</v>
      </c>
      <c r="F74" s="2" t="str">
        <f t="shared" si="2"/>
        <v>62nd</v>
      </c>
    </row>
    <row r="75" spans="1:6" x14ac:dyDescent="0.2">
      <c r="A75" s="2" t="s">
        <v>111</v>
      </c>
      <c r="B75" s="2" t="s">
        <v>3</v>
      </c>
      <c r="C75" s="2">
        <v>28</v>
      </c>
      <c r="D75" s="2">
        <v>61.6</v>
      </c>
      <c r="E75" s="2">
        <v>9</v>
      </c>
      <c r="F75" s="2" t="str">
        <f t="shared" si="2"/>
        <v>62nd</v>
      </c>
    </row>
    <row r="76" spans="1:6" x14ac:dyDescent="0.2">
      <c r="A76" s="2" t="s">
        <v>111</v>
      </c>
      <c r="B76" s="2" t="s">
        <v>3</v>
      </c>
      <c r="C76" s="2">
        <v>29</v>
      </c>
      <c r="D76" s="2">
        <v>61.6</v>
      </c>
      <c r="E76" s="2">
        <v>9</v>
      </c>
      <c r="F76" s="2" t="str">
        <f t="shared" si="2"/>
        <v>62nd</v>
      </c>
    </row>
    <row r="77" spans="1:6" x14ac:dyDescent="0.2">
      <c r="A77" s="2" t="s">
        <v>111</v>
      </c>
      <c r="B77" s="2" t="s">
        <v>3</v>
      </c>
      <c r="C77" s="2">
        <v>30</v>
      </c>
      <c r="D77" s="2">
        <v>74</v>
      </c>
      <c r="E77" s="2">
        <v>10</v>
      </c>
      <c r="F77" s="2" t="str">
        <f t="shared" si="2"/>
        <v>74th</v>
      </c>
    </row>
    <row r="78" spans="1:6" x14ac:dyDescent="0.2">
      <c r="A78" s="2" t="s">
        <v>111</v>
      </c>
      <c r="B78" s="2" t="s">
        <v>3</v>
      </c>
      <c r="C78" s="2">
        <v>31</v>
      </c>
      <c r="D78" s="2">
        <v>74</v>
      </c>
      <c r="E78" s="2">
        <v>10</v>
      </c>
      <c r="F78" s="2" t="str">
        <f t="shared" si="2"/>
        <v>74th</v>
      </c>
    </row>
    <row r="79" spans="1:6" x14ac:dyDescent="0.2">
      <c r="A79" s="2" t="s">
        <v>111</v>
      </c>
      <c r="B79" s="2" t="s">
        <v>3</v>
      </c>
      <c r="C79" s="2">
        <v>32</v>
      </c>
      <c r="D79" s="2">
        <v>74</v>
      </c>
      <c r="E79" s="2">
        <v>10</v>
      </c>
      <c r="F79" s="2" t="str">
        <f t="shared" si="2"/>
        <v>74th</v>
      </c>
    </row>
    <row r="80" spans="1:6" x14ac:dyDescent="0.2">
      <c r="A80" s="2" t="s">
        <v>111</v>
      </c>
      <c r="B80" s="2" t="s">
        <v>3</v>
      </c>
      <c r="C80" s="2">
        <v>33</v>
      </c>
      <c r="D80" s="2">
        <v>84.8</v>
      </c>
      <c r="E80" s="2">
        <v>11</v>
      </c>
      <c r="F80" s="2" t="str">
        <f t="shared" si="2"/>
        <v>85th</v>
      </c>
    </row>
    <row r="81" spans="1:6" x14ac:dyDescent="0.2">
      <c r="A81" s="2" t="s">
        <v>111</v>
      </c>
      <c r="B81" s="2" t="s">
        <v>3</v>
      </c>
      <c r="C81" s="2">
        <v>34</v>
      </c>
      <c r="D81" s="2">
        <v>84.8</v>
      </c>
      <c r="E81" s="2">
        <v>11</v>
      </c>
      <c r="F81" s="2" t="str">
        <f t="shared" si="2"/>
        <v>85th</v>
      </c>
    </row>
    <row r="82" spans="1:6" x14ac:dyDescent="0.2">
      <c r="A82" s="2" t="s">
        <v>111</v>
      </c>
      <c r="B82" s="2" t="s">
        <v>3</v>
      </c>
      <c r="C82" s="2">
        <v>35</v>
      </c>
      <c r="D82" s="2">
        <v>84.8</v>
      </c>
      <c r="E82" s="2">
        <v>11</v>
      </c>
      <c r="F82" s="2" t="str">
        <f t="shared" si="2"/>
        <v>85th</v>
      </c>
    </row>
    <row r="83" spans="1:6" x14ac:dyDescent="0.2">
      <c r="A83" s="2" t="s">
        <v>111</v>
      </c>
      <c r="B83" s="2" t="s">
        <v>3</v>
      </c>
      <c r="C83" s="2">
        <v>36</v>
      </c>
      <c r="D83" s="2">
        <v>84.8</v>
      </c>
      <c r="E83" s="2">
        <v>11</v>
      </c>
      <c r="F83" s="2" t="str">
        <f t="shared" si="2"/>
        <v>85th</v>
      </c>
    </row>
    <row r="84" spans="1:6" x14ac:dyDescent="0.2">
      <c r="A84" s="2" t="s">
        <v>111</v>
      </c>
      <c r="B84" s="2" t="s">
        <v>3</v>
      </c>
      <c r="C84" s="2">
        <v>37</v>
      </c>
      <c r="D84" s="2">
        <v>91.9</v>
      </c>
      <c r="E84" s="2">
        <v>12</v>
      </c>
      <c r="F84" s="2" t="str">
        <f t="shared" si="2"/>
        <v>92nd</v>
      </c>
    </row>
    <row r="85" spans="1:6" x14ac:dyDescent="0.2">
      <c r="A85" s="2" t="s">
        <v>111</v>
      </c>
      <c r="B85" s="2" t="s">
        <v>3</v>
      </c>
      <c r="C85" s="2">
        <v>38</v>
      </c>
      <c r="D85" s="2">
        <v>91.9</v>
      </c>
      <c r="E85" s="2">
        <v>12</v>
      </c>
      <c r="F85" s="2" t="str">
        <f t="shared" si="2"/>
        <v>92nd</v>
      </c>
    </row>
    <row r="86" spans="1:6" x14ac:dyDescent="0.2">
      <c r="A86" s="2" t="s">
        <v>111</v>
      </c>
      <c r="B86" s="2" t="s">
        <v>3</v>
      </c>
      <c r="C86" s="2">
        <v>39</v>
      </c>
      <c r="D86" s="2">
        <v>91.9</v>
      </c>
      <c r="E86" s="2">
        <v>12</v>
      </c>
      <c r="F86" s="2" t="str">
        <f t="shared" si="2"/>
        <v>92nd</v>
      </c>
    </row>
    <row r="87" spans="1:6" x14ac:dyDescent="0.2">
      <c r="A87" s="2" t="s">
        <v>111</v>
      </c>
      <c r="B87" s="2" t="s">
        <v>3</v>
      </c>
      <c r="C87" s="2">
        <v>40</v>
      </c>
      <c r="D87" s="2">
        <v>96.4</v>
      </c>
      <c r="E87" s="2">
        <v>13</v>
      </c>
      <c r="F87" s="2" t="str">
        <f t="shared" si="2"/>
        <v>96th</v>
      </c>
    </row>
    <row r="88" spans="1:6" x14ac:dyDescent="0.2">
      <c r="A88" s="2" t="s">
        <v>111</v>
      </c>
      <c r="B88" s="2" t="s">
        <v>3</v>
      </c>
      <c r="C88" s="2">
        <v>41</v>
      </c>
      <c r="D88" s="2">
        <v>96.4</v>
      </c>
      <c r="E88" s="2">
        <v>13</v>
      </c>
      <c r="F88" s="2" t="str">
        <f t="shared" si="2"/>
        <v>96th</v>
      </c>
    </row>
    <row r="89" spans="1:6" x14ac:dyDescent="0.2">
      <c r="A89" s="2" t="s">
        <v>111</v>
      </c>
      <c r="B89" s="2" t="s">
        <v>3</v>
      </c>
      <c r="C89" s="2">
        <v>42</v>
      </c>
      <c r="D89" s="2">
        <v>96.4</v>
      </c>
      <c r="E89" s="2">
        <v>13</v>
      </c>
      <c r="F89" s="2" t="str">
        <f t="shared" si="2"/>
        <v>96th</v>
      </c>
    </row>
    <row r="90" spans="1:6" x14ac:dyDescent="0.2">
      <c r="A90" s="2" t="s">
        <v>111</v>
      </c>
      <c r="B90" s="2" t="s">
        <v>3</v>
      </c>
      <c r="C90" s="2">
        <v>43</v>
      </c>
      <c r="D90" s="2">
        <v>98.9</v>
      </c>
      <c r="E90" s="2">
        <v>14</v>
      </c>
      <c r="F90" s="2" t="str">
        <f t="shared" si="2"/>
        <v>99th</v>
      </c>
    </row>
    <row r="91" spans="1:6" x14ac:dyDescent="0.2">
      <c r="A91" s="2" t="s">
        <v>111</v>
      </c>
      <c r="B91" s="2" t="s">
        <v>3</v>
      </c>
      <c r="C91" s="2">
        <v>44</v>
      </c>
      <c r="D91" s="2">
        <v>98.9</v>
      </c>
      <c r="E91" s="2">
        <v>14</v>
      </c>
      <c r="F91" s="2" t="str">
        <f t="shared" si="2"/>
        <v>99th</v>
      </c>
    </row>
    <row r="92" spans="1:6" x14ac:dyDescent="0.2">
      <c r="A92" s="2" t="s">
        <v>111</v>
      </c>
      <c r="B92" s="2" t="s">
        <v>3</v>
      </c>
      <c r="C92" s="2">
        <v>45</v>
      </c>
      <c r="D92" s="2">
        <v>98.9</v>
      </c>
      <c r="E92" s="2">
        <v>14</v>
      </c>
      <c r="F92" s="2" t="str">
        <f t="shared" si="2"/>
        <v>99th</v>
      </c>
    </row>
    <row r="93" spans="1:6" x14ac:dyDescent="0.2">
      <c r="A93" s="2" t="s">
        <v>111</v>
      </c>
      <c r="B93" s="2" t="s">
        <v>3</v>
      </c>
      <c r="C93" s="2">
        <v>46</v>
      </c>
      <c r="D93" s="2">
        <v>98.9</v>
      </c>
      <c r="E93" s="2">
        <v>14</v>
      </c>
      <c r="F93" s="2" t="str">
        <f t="shared" si="2"/>
        <v>99th</v>
      </c>
    </row>
    <row r="94" spans="1:6" x14ac:dyDescent="0.2">
      <c r="A94" s="2" t="s">
        <v>111</v>
      </c>
      <c r="B94" s="2" t="s">
        <v>3</v>
      </c>
      <c r="C94" s="2">
        <v>47</v>
      </c>
      <c r="D94" s="2">
        <v>99.8</v>
      </c>
      <c r="E94" s="2">
        <v>15</v>
      </c>
      <c r="F94" s="2" t="str">
        <f t="shared" si="2"/>
        <v>100th</v>
      </c>
    </row>
    <row r="95" spans="1:6" x14ac:dyDescent="0.2">
      <c r="A95" s="2" t="s">
        <v>111</v>
      </c>
      <c r="B95" s="2" t="s">
        <v>3</v>
      </c>
      <c r="C95" s="2">
        <v>48</v>
      </c>
      <c r="D95" s="2">
        <v>99.8</v>
      </c>
      <c r="E95" s="2">
        <v>15</v>
      </c>
      <c r="F95" s="2" t="str">
        <f t="shared" si="2"/>
        <v>100th</v>
      </c>
    </row>
    <row r="96" spans="1:6" x14ac:dyDescent="0.2">
      <c r="A96" s="2" t="s">
        <v>111</v>
      </c>
      <c r="B96" s="2" t="s">
        <v>3</v>
      </c>
      <c r="C96" s="2">
        <v>49</v>
      </c>
      <c r="D96" s="2">
        <v>99.8</v>
      </c>
      <c r="E96" s="2">
        <v>15</v>
      </c>
      <c r="F96" s="2" t="str">
        <f t="shared" si="2"/>
        <v>100th</v>
      </c>
    </row>
    <row r="97" spans="1:6" x14ac:dyDescent="0.2">
      <c r="A97" s="2" t="s">
        <v>111</v>
      </c>
      <c r="B97" s="2" t="s">
        <v>3</v>
      </c>
      <c r="C97" s="2">
        <v>50</v>
      </c>
      <c r="D97" s="2">
        <v>99.8</v>
      </c>
      <c r="E97" s="2">
        <v>15</v>
      </c>
      <c r="F97" s="2" t="str">
        <f t="shared" si="2"/>
        <v>100th</v>
      </c>
    </row>
    <row r="98" spans="1:6" x14ac:dyDescent="0.2">
      <c r="A98" s="2" t="s">
        <v>111</v>
      </c>
      <c r="B98" s="2" t="s">
        <v>3</v>
      </c>
      <c r="C98" s="2">
        <v>51</v>
      </c>
      <c r="D98" s="2">
        <v>99.8</v>
      </c>
      <c r="E98" s="2">
        <v>15</v>
      </c>
      <c r="F98" s="2" t="str">
        <f t="shared" si="2"/>
        <v>100th</v>
      </c>
    </row>
    <row r="99" spans="1:6" x14ac:dyDescent="0.2">
      <c r="A99" s="2" t="s">
        <v>111</v>
      </c>
      <c r="B99" s="2" t="s">
        <v>3</v>
      </c>
      <c r="C99" s="2">
        <v>52</v>
      </c>
      <c r="D99" s="2">
        <v>99.8</v>
      </c>
      <c r="E99" s="2">
        <v>15</v>
      </c>
      <c r="F99" s="2" t="str">
        <f t="shared" si="2"/>
        <v>100th</v>
      </c>
    </row>
    <row r="100" spans="1:6" x14ac:dyDescent="0.2">
      <c r="A100" s="2" t="s">
        <v>111</v>
      </c>
      <c r="B100" s="2" t="s">
        <v>4</v>
      </c>
      <c r="C100" s="2">
        <v>0</v>
      </c>
      <c r="D100" s="2">
        <v>0.4</v>
      </c>
      <c r="E100" s="2">
        <v>1</v>
      </c>
      <c r="F100" s="2" t="str">
        <f t="shared" si="2"/>
        <v>0th</v>
      </c>
    </row>
    <row r="101" spans="1:6" x14ac:dyDescent="0.2">
      <c r="A101" s="2" t="s">
        <v>111</v>
      </c>
      <c r="B101" s="2" t="s">
        <v>4</v>
      </c>
      <c r="C101" s="2">
        <v>1</v>
      </c>
      <c r="D101" s="2">
        <v>0.4</v>
      </c>
      <c r="E101" s="2">
        <v>1</v>
      </c>
      <c r="F101" s="2" t="str">
        <f t="shared" si="2"/>
        <v>0th</v>
      </c>
    </row>
    <row r="102" spans="1:6" x14ac:dyDescent="0.2">
      <c r="A102" s="2" t="s">
        <v>111</v>
      </c>
      <c r="B102" s="2" t="s">
        <v>4</v>
      </c>
      <c r="C102" s="2">
        <v>2</v>
      </c>
      <c r="D102" s="2">
        <v>0.4</v>
      </c>
      <c r="E102" s="2">
        <v>1</v>
      </c>
      <c r="F102" s="2" t="str">
        <f t="shared" si="2"/>
        <v>0th</v>
      </c>
    </row>
    <row r="103" spans="1:6" x14ac:dyDescent="0.2">
      <c r="A103" s="2" t="s">
        <v>111</v>
      </c>
      <c r="B103" s="2" t="s">
        <v>4</v>
      </c>
      <c r="C103" s="2">
        <v>3</v>
      </c>
      <c r="D103" s="2">
        <v>0.4</v>
      </c>
      <c r="E103" s="2">
        <v>1</v>
      </c>
      <c r="F103" s="2" t="str">
        <f t="shared" ref="F103:F166" si="3">IF(RIGHT(ROUND(D103,0),2)="13",ROUND(D103,0)&amp;"th",IF(RIGHT(ROUND(D103,0),2)="12",ROUND(D103,0)&amp;"th",IF(RIGHT(ROUND(D103,0),2)="11",ROUND(D103,0)&amp;"th",IF(RIGHT(ROUND(D103,0),1)="1",ROUND(D103,0)&amp;"st",IF(RIGHT(ROUND(D103,0),1)="2",ROUND(D103,0)&amp;"nd",IF(RIGHT(ROUND(D103,0),1)="3",ROUND(D103,0)&amp;"rd",ROUND(D103,0)&amp;"th"))))))</f>
        <v>0th</v>
      </c>
    </row>
    <row r="104" spans="1:6" x14ac:dyDescent="0.2">
      <c r="A104" s="2" t="s">
        <v>111</v>
      </c>
      <c r="B104" s="2" t="s">
        <v>4</v>
      </c>
      <c r="C104" s="2">
        <v>4</v>
      </c>
      <c r="D104" s="2">
        <v>0.4</v>
      </c>
      <c r="E104" s="2">
        <v>1</v>
      </c>
      <c r="F104" s="2" t="str">
        <f t="shared" si="3"/>
        <v>0th</v>
      </c>
    </row>
    <row r="105" spans="1:6" x14ac:dyDescent="0.2">
      <c r="A105" s="2" t="s">
        <v>111</v>
      </c>
      <c r="B105" s="2" t="s">
        <v>4</v>
      </c>
      <c r="C105" s="2">
        <v>5</v>
      </c>
      <c r="D105" s="2">
        <v>1.8</v>
      </c>
      <c r="E105" s="2">
        <v>2</v>
      </c>
      <c r="F105" s="2" t="str">
        <f t="shared" si="3"/>
        <v>2nd</v>
      </c>
    </row>
    <row r="106" spans="1:6" x14ac:dyDescent="0.2">
      <c r="A106" s="2" t="s">
        <v>111</v>
      </c>
      <c r="B106" s="2" t="s">
        <v>4</v>
      </c>
      <c r="C106" s="2">
        <v>6</v>
      </c>
      <c r="D106" s="2">
        <v>1.8</v>
      </c>
      <c r="E106" s="2">
        <v>2</v>
      </c>
      <c r="F106" s="2" t="str">
        <f t="shared" si="3"/>
        <v>2nd</v>
      </c>
    </row>
    <row r="107" spans="1:6" x14ac:dyDescent="0.2">
      <c r="A107" s="2" t="s">
        <v>111</v>
      </c>
      <c r="B107" s="2" t="s">
        <v>4</v>
      </c>
      <c r="C107" s="2">
        <v>7</v>
      </c>
      <c r="D107" s="2">
        <v>1.8</v>
      </c>
      <c r="E107" s="2">
        <v>2</v>
      </c>
      <c r="F107" s="2" t="str">
        <f t="shared" si="3"/>
        <v>2nd</v>
      </c>
    </row>
    <row r="108" spans="1:6" x14ac:dyDescent="0.2">
      <c r="A108" s="2" t="s">
        <v>111</v>
      </c>
      <c r="B108" s="2" t="s">
        <v>4</v>
      </c>
      <c r="C108" s="2">
        <v>8</v>
      </c>
      <c r="D108" s="2">
        <v>4.3</v>
      </c>
      <c r="E108" s="2">
        <v>3</v>
      </c>
      <c r="F108" s="2" t="str">
        <f t="shared" si="3"/>
        <v>4th</v>
      </c>
    </row>
    <row r="109" spans="1:6" x14ac:dyDescent="0.2">
      <c r="A109" s="2" t="s">
        <v>111</v>
      </c>
      <c r="B109" s="2" t="s">
        <v>4</v>
      </c>
      <c r="C109" s="2">
        <v>9</v>
      </c>
      <c r="D109" s="2">
        <v>4.3</v>
      </c>
      <c r="E109" s="2">
        <v>3</v>
      </c>
      <c r="F109" s="2" t="str">
        <f t="shared" si="3"/>
        <v>4th</v>
      </c>
    </row>
    <row r="110" spans="1:6" x14ac:dyDescent="0.2">
      <c r="A110" s="2" t="s">
        <v>111</v>
      </c>
      <c r="B110" s="2" t="s">
        <v>4</v>
      </c>
      <c r="C110" s="2">
        <v>10</v>
      </c>
      <c r="D110" s="2">
        <v>4.3</v>
      </c>
      <c r="E110" s="2">
        <v>3</v>
      </c>
      <c r="F110" s="2" t="str">
        <f t="shared" si="3"/>
        <v>4th</v>
      </c>
    </row>
    <row r="111" spans="1:6" x14ac:dyDescent="0.2">
      <c r="A111" s="2" t="s">
        <v>111</v>
      </c>
      <c r="B111" s="2" t="s">
        <v>4</v>
      </c>
      <c r="C111" s="2">
        <v>11</v>
      </c>
      <c r="D111" s="2">
        <v>8.3000000000000007</v>
      </c>
      <c r="E111" s="2">
        <v>4</v>
      </c>
      <c r="F111" s="2" t="str">
        <f t="shared" si="3"/>
        <v>8th</v>
      </c>
    </row>
    <row r="112" spans="1:6" x14ac:dyDescent="0.2">
      <c r="A112" s="2" t="s">
        <v>111</v>
      </c>
      <c r="B112" s="2" t="s">
        <v>4</v>
      </c>
      <c r="C112" s="2">
        <v>12</v>
      </c>
      <c r="D112" s="2">
        <v>8.3000000000000007</v>
      </c>
      <c r="E112" s="2">
        <v>4</v>
      </c>
      <c r="F112" s="2" t="str">
        <f t="shared" si="3"/>
        <v>8th</v>
      </c>
    </row>
    <row r="113" spans="1:6" x14ac:dyDescent="0.2">
      <c r="A113" s="2" t="s">
        <v>111</v>
      </c>
      <c r="B113" s="2" t="s">
        <v>4</v>
      </c>
      <c r="C113" s="2">
        <v>13</v>
      </c>
      <c r="D113" s="2">
        <v>8.3000000000000007</v>
      </c>
      <c r="E113" s="2">
        <v>4</v>
      </c>
      <c r="F113" s="2" t="str">
        <f t="shared" si="3"/>
        <v>8th</v>
      </c>
    </row>
    <row r="114" spans="1:6" x14ac:dyDescent="0.2">
      <c r="A114" s="2" t="s">
        <v>111</v>
      </c>
      <c r="B114" s="2" t="s">
        <v>4</v>
      </c>
      <c r="C114" s="2">
        <v>14</v>
      </c>
      <c r="D114" s="2">
        <v>8.3000000000000007</v>
      </c>
      <c r="E114" s="2">
        <v>4</v>
      </c>
      <c r="F114" s="2" t="str">
        <f t="shared" si="3"/>
        <v>8th</v>
      </c>
    </row>
    <row r="115" spans="1:6" x14ac:dyDescent="0.2">
      <c r="A115" s="2" t="s">
        <v>111</v>
      </c>
      <c r="B115" s="2" t="s">
        <v>4</v>
      </c>
      <c r="C115" s="2">
        <v>15</v>
      </c>
      <c r="D115" s="2">
        <v>8.3000000000000007</v>
      </c>
      <c r="E115" s="2">
        <v>4</v>
      </c>
      <c r="F115" s="2" t="str">
        <f t="shared" si="3"/>
        <v>8th</v>
      </c>
    </row>
    <row r="116" spans="1:6" x14ac:dyDescent="0.2">
      <c r="A116" s="2" t="s">
        <v>111</v>
      </c>
      <c r="B116" s="2" t="s">
        <v>4</v>
      </c>
      <c r="C116" s="2">
        <v>16</v>
      </c>
      <c r="D116" s="2">
        <v>8.3000000000000007</v>
      </c>
      <c r="E116" s="2">
        <v>4</v>
      </c>
      <c r="F116" s="2" t="str">
        <f t="shared" si="3"/>
        <v>8th</v>
      </c>
    </row>
    <row r="117" spans="1:6" x14ac:dyDescent="0.2">
      <c r="A117" s="2" t="s">
        <v>111</v>
      </c>
      <c r="B117" s="2" t="s">
        <v>4</v>
      </c>
      <c r="C117" s="2">
        <v>17</v>
      </c>
      <c r="D117" s="2">
        <v>8.3000000000000007</v>
      </c>
      <c r="E117" s="2">
        <v>4</v>
      </c>
      <c r="F117" s="2" t="str">
        <f t="shared" si="3"/>
        <v>8th</v>
      </c>
    </row>
    <row r="118" spans="1:6" x14ac:dyDescent="0.2">
      <c r="A118" s="2" t="s">
        <v>111</v>
      </c>
      <c r="B118" s="2" t="s">
        <v>4</v>
      </c>
      <c r="C118" s="2">
        <v>18</v>
      </c>
      <c r="D118" s="2">
        <v>8.3000000000000007</v>
      </c>
      <c r="E118" s="2">
        <v>4</v>
      </c>
      <c r="F118" s="2" t="str">
        <f t="shared" si="3"/>
        <v>8th</v>
      </c>
    </row>
    <row r="119" spans="1:6" x14ac:dyDescent="0.2">
      <c r="A119" s="2" t="s">
        <v>111</v>
      </c>
      <c r="B119" s="2" t="s">
        <v>4</v>
      </c>
      <c r="C119" s="2">
        <v>19</v>
      </c>
      <c r="D119" s="2">
        <v>13.7</v>
      </c>
      <c r="E119" s="2">
        <v>5</v>
      </c>
      <c r="F119" s="2" t="str">
        <f t="shared" si="3"/>
        <v>14th</v>
      </c>
    </row>
    <row r="120" spans="1:6" x14ac:dyDescent="0.2">
      <c r="A120" s="2" t="s">
        <v>111</v>
      </c>
      <c r="B120" s="2" t="s">
        <v>4</v>
      </c>
      <c r="C120" s="2">
        <v>20</v>
      </c>
      <c r="D120" s="2">
        <v>13.7</v>
      </c>
      <c r="E120" s="2">
        <v>5</v>
      </c>
      <c r="F120" s="2" t="str">
        <f t="shared" si="3"/>
        <v>14th</v>
      </c>
    </row>
    <row r="121" spans="1:6" x14ac:dyDescent="0.2">
      <c r="A121" s="2" t="s">
        <v>111</v>
      </c>
      <c r="B121" s="2" t="s">
        <v>4</v>
      </c>
      <c r="C121" s="2">
        <v>21</v>
      </c>
      <c r="D121" s="2">
        <v>13.7</v>
      </c>
      <c r="E121" s="2">
        <v>5</v>
      </c>
      <c r="F121" s="2" t="str">
        <f t="shared" si="3"/>
        <v>14th</v>
      </c>
    </row>
    <row r="122" spans="1:6" x14ac:dyDescent="0.2">
      <c r="A122" s="2" t="s">
        <v>111</v>
      </c>
      <c r="B122" s="2" t="s">
        <v>4</v>
      </c>
      <c r="C122" s="2">
        <v>22</v>
      </c>
      <c r="D122" s="2">
        <v>13.7</v>
      </c>
      <c r="E122" s="2">
        <v>5</v>
      </c>
      <c r="F122" s="2" t="str">
        <f t="shared" si="3"/>
        <v>14th</v>
      </c>
    </row>
    <row r="123" spans="1:6" x14ac:dyDescent="0.2">
      <c r="A123" s="2" t="s">
        <v>111</v>
      </c>
      <c r="B123" s="2" t="s">
        <v>4</v>
      </c>
      <c r="C123" s="2">
        <v>23</v>
      </c>
      <c r="D123" s="2">
        <v>22.6</v>
      </c>
      <c r="E123" s="2">
        <v>6</v>
      </c>
      <c r="F123" s="2" t="str">
        <f t="shared" si="3"/>
        <v>23rd</v>
      </c>
    </row>
    <row r="124" spans="1:6" x14ac:dyDescent="0.2">
      <c r="A124" s="2" t="s">
        <v>111</v>
      </c>
      <c r="B124" s="2" t="s">
        <v>4</v>
      </c>
      <c r="C124" s="2">
        <v>24</v>
      </c>
      <c r="D124" s="2">
        <v>22.6</v>
      </c>
      <c r="E124" s="2">
        <v>6</v>
      </c>
      <c r="F124" s="2" t="str">
        <f t="shared" si="3"/>
        <v>23rd</v>
      </c>
    </row>
    <row r="125" spans="1:6" x14ac:dyDescent="0.2">
      <c r="A125" s="2" t="s">
        <v>111</v>
      </c>
      <c r="B125" s="2" t="s">
        <v>4</v>
      </c>
      <c r="C125" s="2">
        <v>25</v>
      </c>
      <c r="D125" s="2">
        <v>22.6</v>
      </c>
      <c r="E125" s="2">
        <v>6</v>
      </c>
      <c r="F125" s="2" t="str">
        <f t="shared" si="3"/>
        <v>23rd</v>
      </c>
    </row>
    <row r="126" spans="1:6" x14ac:dyDescent="0.2">
      <c r="A126" s="2" t="s">
        <v>111</v>
      </c>
      <c r="B126" s="2" t="s">
        <v>4</v>
      </c>
      <c r="C126" s="2">
        <v>26</v>
      </c>
      <c r="D126" s="2">
        <v>34</v>
      </c>
      <c r="E126" s="2">
        <v>7</v>
      </c>
      <c r="F126" s="2" t="str">
        <f t="shared" si="3"/>
        <v>34th</v>
      </c>
    </row>
    <row r="127" spans="1:6" x14ac:dyDescent="0.2">
      <c r="A127" s="2" t="s">
        <v>111</v>
      </c>
      <c r="B127" s="2" t="s">
        <v>4</v>
      </c>
      <c r="C127" s="2">
        <v>27</v>
      </c>
      <c r="D127" s="2">
        <v>34</v>
      </c>
      <c r="E127" s="2">
        <v>7</v>
      </c>
      <c r="F127" s="2" t="str">
        <f t="shared" si="3"/>
        <v>34th</v>
      </c>
    </row>
    <row r="128" spans="1:6" x14ac:dyDescent="0.2">
      <c r="A128" s="2" t="s">
        <v>111</v>
      </c>
      <c r="B128" s="2" t="s">
        <v>4</v>
      </c>
      <c r="C128" s="2">
        <v>28</v>
      </c>
      <c r="D128" s="2">
        <v>45.4</v>
      </c>
      <c r="E128" s="2">
        <v>8</v>
      </c>
      <c r="F128" s="2" t="str">
        <f t="shared" si="3"/>
        <v>45th</v>
      </c>
    </row>
    <row r="129" spans="1:6" x14ac:dyDescent="0.2">
      <c r="A129" s="2" t="s">
        <v>111</v>
      </c>
      <c r="B129" s="2" t="s">
        <v>4</v>
      </c>
      <c r="C129" s="2">
        <v>29</v>
      </c>
      <c r="D129" s="2">
        <v>45.4</v>
      </c>
      <c r="E129" s="2">
        <v>8</v>
      </c>
      <c r="F129" s="2" t="str">
        <f t="shared" si="3"/>
        <v>45th</v>
      </c>
    </row>
    <row r="130" spans="1:6" x14ac:dyDescent="0.2">
      <c r="A130" s="2" t="s">
        <v>111</v>
      </c>
      <c r="B130" s="2" t="s">
        <v>4</v>
      </c>
      <c r="C130" s="2">
        <v>30</v>
      </c>
      <c r="D130" s="2">
        <v>60.8</v>
      </c>
      <c r="E130" s="2">
        <v>9</v>
      </c>
      <c r="F130" s="2" t="str">
        <f t="shared" si="3"/>
        <v>61st</v>
      </c>
    </row>
    <row r="131" spans="1:6" x14ac:dyDescent="0.2">
      <c r="A131" s="2" t="s">
        <v>111</v>
      </c>
      <c r="B131" s="2" t="s">
        <v>4</v>
      </c>
      <c r="C131" s="2">
        <v>31</v>
      </c>
      <c r="D131" s="2">
        <v>60.8</v>
      </c>
      <c r="E131" s="2">
        <v>9</v>
      </c>
      <c r="F131" s="2" t="str">
        <f t="shared" si="3"/>
        <v>61st</v>
      </c>
    </row>
    <row r="132" spans="1:6" x14ac:dyDescent="0.2">
      <c r="A132" s="2" t="s">
        <v>111</v>
      </c>
      <c r="B132" s="2" t="s">
        <v>4</v>
      </c>
      <c r="C132" s="2">
        <v>32</v>
      </c>
      <c r="D132" s="2">
        <v>76.8</v>
      </c>
      <c r="E132" s="2">
        <v>10</v>
      </c>
      <c r="F132" s="2" t="str">
        <f t="shared" si="3"/>
        <v>77th</v>
      </c>
    </row>
    <row r="133" spans="1:6" x14ac:dyDescent="0.2">
      <c r="A133" s="2" t="s">
        <v>111</v>
      </c>
      <c r="B133" s="2" t="s">
        <v>4</v>
      </c>
      <c r="C133" s="2">
        <v>33</v>
      </c>
      <c r="D133" s="2">
        <v>76.8</v>
      </c>
      <c r="E133" s="2">
        <v>10</v>
      </c>
      <c r="F133" s="2" t="str">
        <f t="shared" si="3"/>
        <v>77th</v>
      </c>
    </row>
    <row r="134" spans="1:6" x14ac:dyDescent="0.2">
      <c r="A134" s="2" t="s">
        <v>111</v>
      </c>
      <c r="B134" s="2" t="s">
        <v>4</v>
      </c>
      <c r="C134" s="2">
        <v>34</v>
      </c>
      <c r="D134" s="2">
        <v>90.3</v>
      </c>
      <c r="E134" s="2">
        <v>11</v>
      </c>
      <c r="F134" s="2" t="str">
        <f t="shared" si="3"/>
        <v>90th</v>
      </c>
    </row>
    <row r="135" spans="1:6" x14ac:dyDescent="0.2">
      <c r="A135" s="2" t="s">
        <v>111</v>
      </c>
      <c r="B135" s="2" t="s">
        <v>4</v>
      </c>
      <c r="C135" s="2">
        <v>35</v>
      </c>
      <c r="D135" s="2">
        <v>90.3</v>
      </c>
      <c r="E135" s="2">
        <v>11</v>
      </c>
      <c r="F135" s="2" t="str">
        <f t="shared" si="3"/>
        <v>90th</v>
      </c>
    </row>
    <row r="136" spans="1:6" x14ac:dyDescent="0.2">
      <c r="A136" s="2" t="s">
        <v>111</v>
      </c>
      <c r="B136" s="2" t="s">
        <v>4</v>
      </c>
      <c r="C136" s="2">
        <v>36</v>
      </c>
      <c r="D136" s="2">
        <v>96.7</v>
      </c>
      <c r="E136" s="2">
        <v>12</v>
      </c>
      <c r="F136" s="2" t="str">
        <f t="shared" si="3"/>
        <v>97th</v>
      </c>
    </row>
    <row r="137" spans="1:6" x14ac:dyDescent="0.2">
      <c r="A137" s="2" t="s">
        <v>111</v>
      </c>
      <c r="B137" s="2" t="s">
        <v>4</v>
      </c>
      <c r="C137" s="2">
        <v>37</v>
      </c>
      <c r="D137" s="2">
        <v>96.7</v>
      </c>
      <c r="E137" s="2">
        <v>12</v>
      </c>
      <c r="F137" s="2" t="str">
        <f t="shared" si="3"/>
        <v>97th</v>
      </c>
    </row>
    <row r="138" spans="1:6" x14ac:dyDescent="0.2">
      <c r="A138" s="2" t="s">
        <v>111</v>
      </c>
      <c r="B138" s="2" t="s">
        <v>4</v>
      </c>
      <c r="C138" s="2">
        <v>38</v>
      </c>
      <c r="D138" s="2">
        <v>98.9</v>
      </c>
      <c r="E138" s="2">
        <v>13</v>
      </c>
      <c r="F138" s="2" t="str">
        <f t="shared" si="3"/>
        <v>99th</v>
      </c>
    </row>
    <row r="139" spans="1:6" x14ac:dyDescent="0.2">
      <c r="A139" s="2" t="s">
        <v>111</v>
      </c>
      <c r="B139" s="2" t="s">
        <v>4</v>
      </c>
      <c r="C139" s="2">
        <v>39</v>
      </c>
      <c r="D139" s="2">
        <v>99.8</v>
      </c>
      <c r="E139" s="2">
        <v>14</v>
      </c>
      <c r="F139" s="2" t="str">
        <f t="shared" si="3"/>
        <v>100th</v>
      </c>
    </row>
    <row r="140" spans="1:6" x14ac:dyDescent="0.2">
      <c r="A140" s="2" t="s">
        <v>111</v>
      </c>
      <c r="B140" s="2" t="s">
        <v>4</v>
      </c>
      <c r="C140" s="2">
        <v>40</v>
      </c>
      <c r="D140" s="2">
        <v>99.9</v>
      </c>
      <c r="E140" s="2">
        <v>15</v>
      </c>
      <c r="F140" s="2" t="str">
        <f t="shared" si="3"/>
        <v>100th</v>
      </c>
    </row>
    <row r="141" spans="1:6" x14ac:dyDescent="0.2">
      <c r="A141" s="2" t="s">
        <v>111</v>
      </c>
      <c r="B141" s="2" t="s">
        <v>5</v>
      </c>
      <c r="C141" s="2">
        <v>0</v>
      </c>
      <c r="D141" s="2">
        <v>0.3</v>
      </c>
      <c r="E141" s="2">
        <v>1</v>
      </c>
      <c r="F141" s="2" t="str">
        <f t="shared" si="3"/>
        <v>0th</v>
      </c>
    </row>
    <row r="142" spans="1:6" x14ac:dyDescent="0.2">
      <c r="A142" s="2" t="s">
        <v>111</v>
      </c>
      <c r="B142" s="2" t="s">
        <v>5</v>
      </c>
      <c r="C142" s="2">
        <v>1</v>
      </c>
      <c r="D142" s="2">
        <v>0.3</v>
      </c>
      <c r="E142" s="2">
        <v>1</v>
      </c>
      <c r="F142" s="2" t="str">
        <f t="shared" si="3"/>
        <v>0th</v>
      </c>
    </row>
    <row r="143" spans="1:6" x14ac:dyDescent="0.2">
      <c r="A143" s="2" t="s">
        <v>111</v>
      </c>
      <c r="B143" s="2" t="s">
        <v>5</v>
      </c>
      <c r="C143" s="2">
        <v>2</v>
      </c>
      <c r="D143" s="2">
        <v>0.3</v>
      </c>
      <c r="E143" s="2">
        <v>1</v>
      </c>
      <c r="F143" s="2" t="str">
        <f t="shared" si="3"/>
        <v>0th</v>
      </c>
    </row>
    <row r="144" spans="1:6" x14ac:dyDescent="0.2">
      <c r="A144" s="2" t="s">
        <v>111</v>
      </c>
      <c r="B144" s="2" t="s">
        <v>5</v>
      </c>
      <c r="C144" s="2">
        <v>3</v>
      </c>
      <c r="D144" s="2">
        <v>0.3</v>
      </c>
      <c r="E144" s="2">
        <v>1</v>
      </c>
      <c r="F144" s="2" t="str">
        <f t="shared" si="3"/>
        <v>0th</v>
      </c>
    </row>
    <row r="145" spans="1:6" x14ac:dyDescent="0.2">
      <c r="A145" s="2" t="s">
        <v>111</v>
      </c>
      <c r="B145" s="2" t="s">
        <v>5</v>
      </c>
      <c r="C145" s="2">
        <v>4</v>
      </c>
      <c r="D145" s="2">
        <v>0.3</v>
      </c>
      <c r="E145" s="2">
        <v>1</v>
      </c>
      <c r="F145" s="2" t="str">
        <f t="shared" si="3"/>
        <v>0th</v>
      </c>
    </row>
    <row r="146" spans="1:6" x14ac:dyDescent="0.2">
      <c r="A146" s="2" t="s">
        <v>111</v>
      </c>
      <c r="B146" s="2" t="s">
        <v>5</v>
      </c>
      <c r="C146" s="2">
        <v>5</v>
      </c>
      <c r="D146" s="2">
        <v>0.3</v>
      </c>
      <c r="E146" s="2">
        <v>1</v>
      </c>
      <c r="F146" s="2" t="str">
        <f t="shared" si="3"/>
        <v>0th</v>
      </c>
    </row>
    <row r="147" spans="1:6" x14ac:dyDescent="0.2">
      <c r="A147" s="2" t="s">
        <v>111</v>
      </c>
      <c r="B147" s="2" t="s">
        <v>5</v>
      </c>
      <c r="C147" s="2">
        <v>6</v>
      </c>
      <c r="D147" s="2">
        <v>0.3</v>
      </c>
      <c r="E147" s="2">
        <v>1</v>
      </c>
      <c r="F147" s="2" t="str">
        <f t="shared" si="3"/>
        <v>0th</v>
      </c>
    </row>
    <row r="148" spans="1:6" x14ac:dyDescent="0.2">
      <c r="A148" s="2" t="s">
        <v>111</v>
      </c>
      <c r="B148" s="2" t="s">
        <v>5</v>
      </c>
      <c r="C148" s="2">
        <v>7</v>
      </c>
      <c r="D148" s="2">
        <v>0.3</v>
      </c>
      <c r="E148" s="2">
        <v>1</v>
      </c>
      <c r="F148" s="2" t="str">
        <f t="shared" si="3"/>
        <v>0th</v>
      </c>
    </row>
    <row r="149" spans="1:6" x14ac:dyDescent="0.2">
      <c r="A149" s="2" t="s">
        <v>111</v>
      </c>
      <c r="B149" s="2" t="s">
        <v>5</v>
      </c>
      <c r="C149" s="2">
        <v>8</v>
      </c>
      <c r="D149" s="2">
        <v>0.3</v>
      </c>
      <c r="E149" s="2">
        <v>1</v>
      </c>
      <c r="F149" s="2" t="str">
        <f t="shared" si="3"/>
        <v>0th</v>
      </c>
    </row>
    <row r="150" spans="1:6" x14ac:dyDescent="0.2">
      <c r="A150" s="2" t="s">
        <v>111</v>
      </c>
      <c r="B150" s="2" t="s">
        <v>5</v>
      </c>
      <c r="C150" s="2">
        <v>9</v>
      </c>
      <c r="D150" s="2">
        <v>0.3</v>
      </c>
      <c r="E150" s="2">
        <v>1</v>
      </c>
      <c r="F150" s="2" t="str">
        <f t="shared" si="3"/>
        <v>0th</v>
      </c>
    </row>
    <row r="151" spans="1:6" x14ac:dyDescent="0.2">
      <c r="A151" s="2" t="s">
        <v>111</v>
      </c>
      <c r="B151" s="2" t="s">
        <v>5</v>
      </c>
      <c r="C151" s="2">
        <v>10</v>
      </c>
      <c r="D151" s="2">
        <v>0.3</v>
      </c>
      <c r="E151" s="2">
        <v>1</v>
      </c>
      <c r="F151" s="2" t="str">
        <f t="shared" si="3"/>
        <v>0th</v>
      </c>
    </row>
    <row r="152" spans="1:6" x14ac:dyDescent="0.2">
      <c r="A152" s="2" t="s">
        <v>111</v>
      </c>
      <c r="B152" s="2" t="s">
        <v>5</v>
      </c>
      <c r="C152" s="2">
        <v>11</v>
      </c>
      <c r="D152" s="2">
        <v>1.1000000000000001</v>
      </c>
      <c r="E152" s="2">
        <v>2</v>
      </c>
      <c r="F152" s="2" t="str">
        <f t="shared" si="3"/>
        <v>1st</v>
      </c>
    </row>
    <row r="153" spans="1:6" x14ac:dyDescent="0.2">
      <c r="A153" s="2" t="s">
        <v>111</v>
      </c>
      <c r="B153" s="2" t="s">
        <v>5</v>
      </c>
      <c r="C153" s="2">
        <v>12</v>
      </c>
      <c r="D153" s="2">
        <v>1.1000000000000001</v>
      </c>
      <c r="E153" s="2">
        <v>2</v>
      </c>
      <c r="F153" s="2" t="str">
        <f t="shared" si="3"/>
        <v>1st</v>
      </c>
    </row>
    <row r="154" spans="1:6" x14ac:dyDescent="0.2">
      <c r="A154" s="2" t="s">
        <v>111</v>
      </c>
      <c r="B154" s="2" t="s">
        <v>5</v>
      </c>
      <c r="C154" s="2">
        <v>13</v>
      </c>
      <c r="D154" s="2">
        <v>1.1000000000000001</v>
      </c>
      <c r="E154" s="2">
        <v>2</v>
      </c>
      <c r="F154" s="2" t="str">
        <f t="shared" si="3"/>
        <v>1st</v>
      </c>
    </row>
    <row r="155" spans="1:6" x14ac:dyDescent="0.2">
      <c r="A155" s="2" t="s">
        <v>111</v>
      </c>
      <c r="B155" s="2" t="s">
        <v>5</v>
      </c>
      <c r="C155" s="2">
        <v>14</v>
      </c>
      <c r="D155" s="2">
        <v>1.1000000000000001</v>
      </c>
      <c r="E155" s="2">
        <v>2</v>
      </c>
      <c r="F155" s="2" t="str">
        <f t="shared" si="3"/>
        <v>1st</v>
      </c>
    </row>
    <row r="156" spans="1:6" x14ac:dyDescent="0.2">
      <c r="A156" s="2" t="s">
        <v>111</v>
      </c>
      <c r="B156" s="2" t="s">
        <v>5</v>
      </c>
      <c r="C156" s="2">
        <v>15</v>
      </c>
      <c r="D156" s="2">
        <v>2.4</v>
      </c>
      <c r="E156" s="2">
        <v>3</v>
      </c>
      <c r="F156" s="2" t="str">
        <f t="shared" si="3"/>
        <v>2nd</v>
      </c>
    </row>
    <row r="157" spans="1:6" x14ac:dyDescent="0.2">
      <c r="A157" s="2" t="s">
        <v>111</v>
      </c>
      <c r="B157" s="2" t="s">
        <v>5</v>
      </c>
      <c r="C157" s="2">
        <v>16</v>
      </c>
      <c r="D157" s="2">
        <v>2.4</v>
      </c>
      <c r="E157" s="2">
        <v>3</v>
      </c>
      <c r="F157" s="2" t="str">
        <f t="shared" si="3"/>
        <v>2nd</v>
      </c>
    </row>
    <row r="158" spans="1:6" x14ac:dyDescent="0.2">
      <c r="A158" s="2" t="s">
        <v>111</v>
      </c>
      <c r="B158" s="2" t="s">
        <v>5</v>
      </c>
      <c r="C158" s="2">
        <v>17</v>
      </c>
      <c r="D158" s="2">
        <v>2.4</v>
      </c>
      <c r="E158" s="2">
        <v>3</v>
      </c>
      <c r="F158" s="2" t="str">
        <f t="shared" si="3"/>
        <v>2nd</v>
      </c>
    </row>
    <row r="159" spans="1:6" x14ac:dyDescent="0.2">
      <c r="A159" s="2" t="s">
        <v>111</v>
      </c>
      <c r="B159" s="2" t="s">
        <v>5</v>
      </c>
      <c r="C159" s="2">
        <v>18</v>
      </c>
      <c r="D159" s="2">
        <v>4.9000000000000004</v>
      </c>
      <c r="E159" s="2">
        <v>4</v>
      </c>
      <c r="F159" s="2" t="str">
        <f t="shared" si="3"/>
        <v>5th</v>
      </c>
    </row>
    <row r="160" spans="1:6" x14ac:dyDescent="0.2">
      <c r="A160" s="2" t="s">
        <v>111</v>
      </c>
      <c r="B160" s="2" t="s">
        <v>5</v>
      </c>
      <c r="C160" s="2">
        <v>19</v>
      </c>
      <c r="D160" s="2">
        <v>4.9000000000000004</v>
      </c>
      <c r="E160" s="2">
        <v>4</v>
      </c>
      <c r="F160" s="2" t="str">
        <f t="shared" si="3"/>
        <v>5th</v>
      </c>
    </row>
    <row r="161" spans="1:6" x14ac:dyDescent="0.2">
      <c r="A161" s="2" t="s">
        <v>111</v>
      </c>
      <c r="B161" s="2" t="s">
        <v>5</v>
      </c>
      <c r="C161" s="2">
        <v>20</v>
      </c>
      <c r="D161" s="2">
        <v>4.9000000000000004</v>
      </c>
      <c r="E161" s="2">
        <v>4</v>
      </c>
      <c r="F161" s="2" t="str">
        <f t="shared" si="3"/>
        <v>5th</v>
      </c>
    </row>
    <row r="162" spans="1:6" x14ac:dyDescent="0.2">
      <c r="A162" s="2" t="s">
        <v>111</v>
      </c>
      <c r="B162" s="2" t="s">
        <v>5</v>
      </c>
      <c r="C162" s="2">
        <v>21</v>
      </c>
      <c r="D162" s="2">
        <v>8.5</v>
      </c>
      <c r="E162" s="2">
        <v>5</v>
      </c>
      <c r="F162" s="2" t="str">
        <f t="shared" si="3"/>
        <v>9th</v>
      </c>
    </row>
    <row r="163" spans="1:6" x14ac:dyDescent="0.2">
      <c r="A163" s="2" t="s">
        <v>111</v>
      </c>
      <c r="B163" s="2" t="s">
        <v>5</v>
      </c>
      <c r="C163" s="2">
        <v>22</v>
      </c>
      <c r="D163" s="2">
        <v>8.5</v>
      </c>
      <c r="E163" s="2">
        <v>5</v>
      </c>
      <c r="F163" s="2" t="str">
        <f t="shared" si="3"/>
        <v>9th</v>
      </c>
    </row>
    <row r="164" spans="1:6" x14ac:dyDescent="0.2">
      <c r="A164" s="2" t="s">
        <v>111</v>
      </c>
      <c r="B164" s="2" t="s">
        <v>5</v>
      </c>
      <c r="C164" s="2">
        <v>23</v>
      </c>
      <c r="D164" s="2">
        <v>8.5</v>
      </c>
      <c r="E164" s="2">
        <v>5</v>
      </c>
      <c r="F164" s="2" t="str">
        <f t="shared" si="3"/>
        <v>9th</v>
      </c>
    </row>
    <row r="165" spans="1:6" x14ac:dyDescent="0.2">
      <c r="A165" s="2" t="s">
        <v>111</v>
      </c>
      <c r="B165" s="2" t="s">
        <v>5</v>
      </c>
      <c r="C165" s="2">
        <v>24</v>
      </c>
      <c r="D165" s="2">
        <v>14.1</v>
      </c>
      <c r="E165" s="2">
        <v>6</v>
      </c>
      <c r="F165" s="2" t="str">
        <f t="shared" si="3"/>
        <v>14th</v>
      </c>
    </row>
    <row r="166" spans="1:6" x14ac:dyDescent="0.2">
      <c r="A166" s="2" t="s">
        <v>111</v>
      </c>
      <c r="B166" s="2" t="s">
        <v>5</v>
      </c>
      <c r="C166" s="2">
        <v>25</v>
      </c>
      <c r="D166" s="2">
        <v>14.1</v>
      </c>
      <c r="E166" s="2">
        <v>6</v>
      </c>
      <c r="F166" s="2" t="str">
        <f t="shared" si="3"/>
        <v>14th</v>
      </c>
    </row>
    <row r="167" spans="1:6" x14ac:dyDescent="0.2">
      <c r="A167" s="2" t="s">
        <v>111</v>
      </c>
      <c r="B167" s="2" t="s">
        <v>5</v>
      </c>
      <c r="C167" s="2">
        <v>26</v>
      </c>
      <c r="D167" s="2">
        <v>14.1</v>
      </c>
      <c r="E167" s="2">
        <v>6</v>
      </c>
      <c r="F167" s="2" t="str">
        <f t="shared" ref="F167:F230" si="4">IF(RIGHT(ROUND(D167,0),2)="13",ROUND(D167,0)&amp;"th",IF(RIGHT(ROUND(D167,0),2)="12",ROUND(D167,0)&amp;"th",IF(RIGHT(ROUND(D167,0),2)="11",ROUND(D167,0)&amp;"th",IF(RIGHT(ROUND(D167,0),1)="1",ROUND(D167,0)&amp;"st",IF(RIGHT(ROUND(D167,0),1)="2",ROUND(D167,0)&amp;"nd",IF(RIGHT(ROUND(D167,0),1)="3",ROUND(D167,0)&amp;"rd",ROUND(D167,0)&amp;"th"))))))</f>
        <v>14th</v>
      </c>
    </row>
    <row r="168" spans="1:6" x14ac:dyDescent="0.2">
      <c r="A168" s="2" t="s">
        <v>111</v>
      </c>
      <c r="B168" s="2" t="s">
        <v>5</v>
      </c>
      <c r="C168" s="2">
        <v>27</v>
      </c>
      <c r="D168" s="2">
        <v>21.6</v>
      </c>
      <c r="E168" s="2">
        <v>7</v>
      </c>
      <c r="F168" s="2" t="str">
        <f t="shared" si="4"/>
        <v>22nd</v>
      </c>
    </row>
    <row r="169" spans="1:6" x14ac:dyDescent="0.2">
      <c r="A169" s="2" t="s">
        <v>111</v>
      </c>
      <c r="B169" s="2" t="s">
        <v>5</v>
      </c>
      <c r="C169" s="2">
        <v>28</v>
      </c>
      <c r="D169" s="2">
        <v>21.6</v>
      </c>
      <c r="E169" s="2">
        <v>7</v>
      </c>
      <c r="F169" s="2" t="str">
        <f t="shared" si="4"/>
        <v>22nd</v>
      </c>
    </row>
    <row r="170" spans="1:6" x14ac:dyDescent="0.2">
      <c r="A170" s="2" t="s">
        <v>111</v>
      </c>
      <c r="B170" s="2" t="s">
        <v>5</v>
      </c>
      <c r="C170" s="2">
        <v>29</v>
      </c>
      <c r="D170" s="2">
        <v>21.6</v>
      </c>
      <c r="E170" s="2">
        <v>7</v>
      </c>
      <c r="F170" s="2" t="str">
        <f t="shared" si="4"/>
        <v>22nd</v>
      </c>
    </row>
    <row r="171" spans="1:6" x14ac:dyDescent="0.2">
      <c r="A171" s="2" t="s">
        <v>111</v>
      </c>
      <c r="B171" s="2" t="s">
        <v>5</v>
      </c>
      <c r="C171" s="2">
        <v>30</v>
      </c>
      <c r="D171" s="2">
        <v>33.200000000000003</v>
      </c>
      <c r="E171" s="2">
        <v>8</v>
      </c>
      <c r="F171" s="2" t="str">
        <f t="shared" si="4"/>
        <v>33rd</v>
      </c>
    </row>
    <row r="172" spans="1:6" x14ac:dyDescent="0.2">
      <c r="A172" s="2" t="s">
        <v>111</v>
      </c>
      <c r="B172" s="2" t="s">
        <v>5</v>
      </c>
      <c r="C172" s="2">
        <v>31</v>
      </c>
      <c r="D172" s="2">
        <v>33.200000000000003</v>
      </c>
      <c r="E172" s="2">
        <v>8</v>
      </c>
      <c r="F172" s="2" t="str">
        <f t="shared" si="4"/>
        <v>33rd</v>
      </c>
    </row>
    <row r="173" spans="1:6" x14ac:dyDescent="0.2">
      <c r="A173" s="2" t="s">
        <v>111</v>
      </c>
      <c r="B173" s="2" t="s">
        <v>5</v>
      </c>
      <c r="C173" s="2">
        <v>32</v>
      </c>
      <c r="D173" s="2">
        <v>33.200000000000003</v>
      </c>
      <c r="E173" s="2">
        <v>8</v>
      </c>
      <c r="F173" s="2" t="str">
        <f t="shared" si="4"/>
        <v>33rd</v>
      </c>
    </row>
    <row r="174" spans="1:6" x14ac:dyDescent="0.2">
      <c r="A174" s="2" t="s">
        <v>111</v>
      </c>
      <c r="B174" s="2" t="s">
        <v>5</v>
      </c>
      <c r="C174" s="2">
        <v>33</v>
      </c>
      <c r="D174" s="2">
        <v>49.3</v>
      </c>
      <c r="E174" s="2">
        <v>9</v>
      </c>
      <c r="F174" s="2" t="str">
        <f t="shared" si="4"/>
        <v>49th</v>
      </c>
    </row>
    <row r="175" spans="1:6" x14ac:dyDescent="0.2">
      <c r="A175" s="2" t="s">
        <v>111</v>
      </c>
      <c r="B175" s="2" t="s">
        <v>5</v>
      </c>
      <c r="C175" s="2">
        <v>34</v>
      </c>
      <c r="D175" s="2">
        <v>49.3</v>
      </c>
      <c r="E175" s="2">
        <v>9</v>
      </c>
      <c r="F175" s="2" t="str">
        <f t="shared" si="4"/>
        <v>49th</v>
      </c>
    </row>
    <row r="176" spans="1:6" x14ac:dyDescent="0.2">
      <c r="A176" s="2" t="s">
        <v>111</v>
      </c>
      <c r="B176" s="2" t="s">
        <v>5</v>
      </c>
      <c r="C176" s="2">
        <v>35</v>
      </c>
      <c r="D176" s="2">
        <v>49.3</v>
      </c>
      <c r="E176" s="2">
        <v>9</v>
      </c>
      <c r="F176" s="2" t="str">
        <f t="shared" si="4"/>
        <v>49th</v>
      </c>
    </row>
    <row r="177" spans="1:6" x14ac:dyDescent="0.2">
      <c r="A177" s="2" t="s">
        <v>111</v>
      </c>
      <c r="B177" s="2" t="s">
        <v>5</v>
      </c>
      <c r="C177" s="2">
        <v>36</v>
      </c>
      <c r="D177" s="2">
        <v>66.8</v>
      </c>
      <c r="E177" s="2">
        <v>10</v>
      </c>
      <c r="F177" s="2" t="str">
        <f t="shared" si="4"/>
        <v>67th</v>
      </c>
    </row>
    <row r="178" spans="1:6" x14ac:dyDescent="0.2">
      <c r="A178" s="2" t="s">
        <v>111</v>
      </c>
      <c r="B178" s="2" t="s">
        <v>5</v>
      </c>
      <c r="C178" s="2">
        <v>37</v>
      </c>
      <c r="D178" s="2">
        <v>66.8</v>
      </c>
      <c r="E178" s="2">
        <v>10</v>
      </c>
      <c r="F178" s="2" t="str">
        <f t="shared" si="4"/>
        <v>67th</v>
      </c>
    </row>
    <row r="179" spans="1:6" x14ac:dyDescent="0.2">
      <c r="A179" s="2" t="s">
        <v>111</v>
      </c>
      <c r="B179" s="2" t="s">
        <v>5</v>
      </c>
      <c r="C179" s="2">
        <v>38</v>
      </c>
      <c r="D179" s="2">
        <v>66.8</v>
      </c>
      <c r="E179" s="2">
        <v>10</v>
      </c>
      <c r="F179" s="2" t="str">
        <f t="shared" si="4"/>
        <v>67th</v>
      </c>
    </row>
    <row r="180" spans="1:6" x14ac:dyDescent="0.2">
      <c r="A180" s="2" t="s">
        <v>111</v>
      </c>
      <c r="B180" s="2" t="s">
        <v>5</v>
      </c>
      <c r="C180" s="2">
        <v>39</v>
      </c>
      <c r="D180" s="2">
        <v>81.900000000000006</v>
      </c>
      <c r="E180" s="2">
        <v>11</v>
      </c>
      <c r="F180" s="2" t="str">
        <f t="shared" si="4"/>
        <v>82nd</v>
      </c>
    </row>
    <row r="181" spans="1:6" x14ac:dyDescent="0.2">
      <c r="A181" s="2" t="s">
        <v>111</v>
      </c>
      <c r="B181" s="2" t="s">
        <v>5</v>
      </c>
      <c r="C181" s="2">
        <v>40</v>
      </c>
      <c r="D181" s="2">
        <v>81.900000000000006</v>
      </c>
      <c r="E181" s="2">
        <v>11</v>
      </c>
      <c r="F181" s="2" t="str">
        <f t="shared" si="4"/>
        <v>82nd</v>
      </c>
    </row>
    <row r="182" spans="1:6" x14ac:dyDescent="0.2">
      <c r="A182" s="2" t="s">
        <v>111</v>
      </c>
      <c r="B182" s="2" t="s">
        <v>5</v>
      </c>
      <c r="C182" s="2">
        <v>41</v>
      </c>
      <c r="D182" s="2">
        <v>81.900000000000006</v>
      </c>
      <c r="E182" s="2">
        <v>11</v>
      </c>
      <c r="F182" s="2" t="str">
        <f t="shared" si="4"/>
        <v>82nd</v>
      </c>
    </row>
    <row r="183" spans="1:6" x14ac:dyDescent="0.2">
      <c r="A183" s="2" t="s">
        <v>111</v>
      </c>
      <c r="B183" s="2" t="s">
        <v>5</v>
      </c>
      <c r="C183" s="2">
        <v>42</v>
      </c>
      <c r="D183" s="2">
        <v>91.4</v>
      </c>
      <c r="E183" s="2">
        <v>12</v>
      </c>
      <c r="F183" s="2" t="str">
        <f t="shared" si="4"/>
        <v>91st</v>
      </c>
    </row>
    <row r="184" spans="1:6" x14ac:dyDescent="0.2">
      <c r="A184" s="2" t="s">
        <v>111</v>
      </c>
      <c r="B184" s="2" t="s">
        <v>5</v>
      </c>
      <c r="C184" s="2">
        <v>43</v>
      </c>
      <c r="D184" s="2">
        <v>91.4</v>
      </c>
      <c r="E184" s="2">
        <v>12</v>
      </c>
      <c r="F184" s="2" t="str">
        <f t="shared" si="4"/>
        <v>91st</v>
      </c>
    </row>
    <row r="185" spans="1:6" x14ac:dyDescent="0.2">
      <c r="A185" s="2" t="s">
        <v>111</v>
      </c>
      <c r="B185" s="2" t="s">
        <v>5</v>
      </c>
      <c r="C185" s="2">
        <v>44</v>
      </c>
      <c r="D185" s="2">
        <v>91.4</v>
      </c>
      <c r="E185" s="2">
        <v>12</v>
      </c>
      <c r="F185" s="2" t="str">
        <f t="shared" si="4"/>
        <v>91st</v>
      </c>
    </row>
    <row r="186" spans="1:6" x14ac:dyDescent="0.2">
      <c r="A186" s="2" t="s">
        <v>111</v>
      </c>
      <c r="B186" s="2" t="s">
        <v>5</v>
      </c>
      <c r="C186" s="2">
        <v>45</v>
      </c>
      <c r="D186" s="2">
        <v>96.5</v>
      </c>
      <c r="E186" s="2">
        <v>13</v>
      </c>
      <c r="F186" s="2" t="str">
        <f t="shared" si="4"/>
        <v>97th</v>
      </c>
    </row>
    <row r="187" spans="1:6" x14ac:dyDescent="0.2">
      <c r="A187" s="2" t="s">
        <v>111</v>
      </c>
      <c r="B187" s="2" t="s">
        <v>5</v>
      </c>
      <c r="C187" s="2">
        <v>46</v>
      </c>
      <c r="D187" s="2">
        <v>96.5</v>
      </c>
      <c r="E187" s="2">
        <v>13</v>
      </c>
      <c r="F187" s="2" t="str">
        <f t="shared" si="4"/>
        <v>97th</v>
      </c>
    </row>
    <row r="188" spans="1:6" x14ac:dyDescent="0.2">
      <c r="A188" s="2" t="s">
        <v>111</v>
      </c>
      <c r="B188" s="2" t="s">
        <v>5</v>
      </c>
      <c r="C188" s="2">
        <v>47</v>
      </c>
      <c r="D188" s="2">
        <v>96.5</v>
      </c>
      <c r="E188" s="2">
        <v>13</v>
      </c>
      <c r="F188" s="2" t="str">
        <f t="shared" si="4"/>
        <v>97th</v>
      </c>
    </row>
    <row r="189" spans="1:6" x14ac:dyDescent="0.2">
      <c r="A189" s="2" t="s">
        <v>111</v>
      </c>
      <c r="B189" s="2" t="s">
        <v>5</v>
      </c>
      <c r="C189" s="2">
        <v>48</v>
      </c>
      <c r="D189" s="2">
        <v>96.5</v>
      </c>
      <c r="E189" s="2">
        <v>13</v>
      </c>
      <c r="F189" s="2" t="str">
        <f t="shared" si="4"/>
        <v>97th</v>
      </c>
    </row>
    <row r="190" spans="1:6" x14ac:dyDescent="0.2">
      <c r="A190" s="2" t="s">
        <v>111</v>
      </c>
      <c r="B190" s="2" t="s">
        <v>5</v>
      </c>
      <c r="C190" s="2">
        <v>49</v>
      </c>
      <c r="D190" s="2">
        <v>99</v>
      </c>
      <c r="E190" s="2">
        <v>14</v>
      </c>
      <c r="F190" s="2" t="str">
        <f t="shared" si="4"/>
        <v>99th</v>
      </c>
    </row>
    <row r="191" spans="1:6" x14ac:dyDescent="0.2">
      <c r="A191" s="2" t="s">
        <v>111</v>
      </c>
      <c r="B191" s="2" t="s">
        <v>5</v>
      </c>
      <c r="C191" s="2">
        <v>50</v>
      </c>
      <c r="D191" s="2">
        <v>99</v>
      </c>
      <c r="E191" s="2">
        <v>14</v>
      </c>
      <c r="F191" s="2" t="str">
        <f t="shared" si="4"/>
        <v>99th</v>
      </c>
    </row>
    <row r="192" spans="1:6" x14ac:dyDescent="0.2">
      <c r="A192" s="2" t="s">
        <v>111</v>
      </c>
      <c r="B192" s="2" t="s">
        <v>5</v>
      </c>
      <c r="C192" s="2">
        <v>51</v>
      </c>
      <c r="D192" s="2">
        <v>99.9</v>
      </c>
      <c r="E192" s="2">
        <v>15</v>
      </c>
      <c r="F192" s="2" t="str">
        <f t="shared" si="4"/>
        <v>100th</v>
      </c>
    </row>
    <row r="193" spans="1:6" x14ac:dyDescent="0.2">
      <c r="A193" s="2" t="s">
        <v>111</v>
      </c>
      <c r="B193" s="2" t="s">
        <v>5</v>
      </c>
      <c r="C193" s="2">
        <v>52</v>
      </c>
      <c r="D193" s="2">
        <v>99.9</v>
      </c>
      <c r="E193" s="2">
        <v>15</v>
      </c>
      <c r="F193" s="2" t="str">
        <f t="shared" si="4"/>
        <v>100th</v>
      </c>
    </row>
    <row r="194" spans="1:6" x14ac:dyDescent="0.2">
      <c r="A194" s="2" t="s">
        <v>112</v>
      </c>
      <c r="B194" s="2" t="s">
        <v>3</v>
      </c>
      <c r="C194" s="2">
        <v>0</v>
      </c>
      <c r="D194" s="2">
        <v>0.1</v>
      </c>
      <c r="E194" s="2">
        <v>1</v>
      </c>
      <c r="F194" s="2" t="str">
        <f t="shared" si="4"/>
        <v>0th</v>
      </c>
    </row>
    <row r="195" spans="1:6" x14ac:dyDescent="0.2">
      <c r="A195" s="2" t="s">
        <v>112</v>
      </c>
      <c r="B195" s="2" t="s">
        <v>3</v>
      </c>
      <c r="C195" s="2">
        <v>1</v>
      </c>
      <c r="D195" s="2">
        <v>0.1</v>
      </c>
      <c r="E195" s="2">
        <v>1</v>
      </c>
      <c r="F195" s="2" t="str">
        <f t="shared" si="4"/>
        <v>0th</v>
      </c>
    </row>
    <row r="196" spans="1:6" x14ac:dyDescent="0.2">
      <c r="A196" s="2" t="s">
        <v>112</v>
      </c>
      <c r="B196" s="2" t="s">
        <v>3</v>
      </c>
      <c r="C196" s="2">
        <v>2</v>
      </c>
      <c r="D196" s="2">
        <v>0.1</v>
      </c>
      <c r="E196" s="2">
        <v>1</v>
      </c>
      <c r="F196" s="2" t="str">
        <f t="shared" si="4"/>
        <v>0th</v>
      </c>
    </row>
    <row r="197" spans="1:6" x14ac:dyDescent="0.2">
      <c r="A197" s="2" t="s">
        <v>112</v>
      </c>
      <c r="B197" s="2" t="s">
        <v>3</v>
      </c>
      <c r="C197" s="2">
        <v>3</v>
      </c>
      <c r="D197" s="2">
        <v>0.1</v>
      </c>
      <c r="E197" s="2">
        <v>1</v>
      </c>
      <c r="F197" s="2" t="str">
        <f t="shared" si="4"/>
        <v>0th</v>
      </c>
    </row>
    <row r="198" spans="1:6" x14ac:dyDescent="0.2">
      <c r="A198" s="2" t="s">
        <v>112</v>
      </c>
      <c r="B198" s="2" t="s">
        <v>3</v>
      </c>
      <c r="C198" s="2">
        <v>4</v>
      </c>
      <c r="D198" s="2">
        <v>0.1</v>
      </c>
      <c r="E198" s="2">
        <v>1</v>
      </c>
      <c r="F198" s="2" t="str">
        <f t="shared" si="4"/>
        <v>0th</v>
      </c>
    </row>
    <row r="199" spans="1:6" x14ac:dyDescent="0.2">
      <c r="A199" s="2" t="s">
        <v>112</v>
      </c>
      <c r="B199" s="2" t="s">
        <v>3</v>
      </c>
      <c r="C199" s="2">
        <v>5</v>
      </c>
      <c r="D199" s="2">
        <v>0.1</v>
      </c>
      <c r="E199" s="2">
        <v>1</v>
      </c>
      <c r="F199" s="2" t="str">
        <f t="shared" si="4"/>
        <v>0th</v>
      </c>
    </row>
    <row r="200" spans="1:6" x14ac:dyDescent="0.2">
      <c r="A200" s="2" t="s">
        <v>112</v>
      </c>
      <c r="B200" s="2" t="s">
        <v>3</v>
      </c>
      <c r="C200" s="2">
        <v>6</v>
      </c>
      <c r="D200" s="2">
        <v>0.3</v>
      </c>
      <c r="E200" s="2">
        <v>2</v>
      </c>
      <c r="F200" s="2" t="str">
        <f t="shared" si="4"/>
        <v>0th</v>
      </c>
    </row>
    <row r="201" spans="1:6" x14ac:dyDescent="0.2">
      <c r="A201" s="2" t="s">
        <v>112</v>
      </c>
      <c r="B201" s="2" t="s">
        <v>3</v>
      </c>
      <c r="C201" s="2">
        <v>7</v>
      </c>
      <c r="D201" s="2">
        <v>0.3</v>
      </c>
      <c r="E201" s="2">
        <v>2</v>
      </c>
      <c r="F201" s="2" t="str">
        <f t="shared" si="4"/>
        <v>0th</v>
      </c>
    </row>
    <row r="202" spans="1:6" x14ac:dyDescent="0.2">
      <c r="A202" s="2" t="s">
        <v>112</v>
      </c>
      <c r="B202" s="2" t="s">
        <v>3</v>
      </c>
      <c r="C202" s="2">
        <v>8</v>
      </c>
      <c r="D202" s="2">
        <v>0.3</v>
      </c>
      <c r="E202" s="2">
        <v>2</v>
      </c>
      <c r="F202" s="2" t="str">
        <f t="shared" si="4"/>
        <v>0th</v>
      </c>
    </row>
    <row r="203" spans="1:6" x14ac:dyDescent="0.2">
      <c r="A203" s="2" t="s">
        <v>112</v>
      </c>
      <c r="B203" s="2" t="s">
        <v>3</v>
      </c>
      <c r="C203" s="2">
        <v>9</v>
      </c>
      <c r="D203" s="2">
        <v>0.3</v>
      </c>
      <c r="E203" s="2">
        <v>2</v>
      </c>
      <c r="F203" s="2" t="str">
        <f t="shared" si="4"/>
        <v>0th</v>
      </c>
    </row>
    <row r="204" spans="1:6" x14ac:dyDescent="0.2">
      <c r="A204" s="2" t="s">
        <v>112</v>
      </c>
      <c r="B204" s="2" t="s">
        <v>3</v>
      </c>
      <c r="C204" s="2">
        <v>10</v>
      </c>
      <c r="D204" s="2">
        <v>0.3</v>
      </c>
      <c r="E204" s="2">
        <v>2</v>
      </c>
      <c r="F204" s="2" t="str">
        <f t="shared" si="4"/>
        <v>0th</v>
      </c>
    </row>
    <row r="205" spans="1:6" x14ac:dyDescent="0.2">
      <c r="A205" s="2" t="s">
        <v>112</v>
      </c>
      <c r="B205" s="2" t="s">
        <v>3</v>
      </c>
      <c r="C205" s="2">
        <v>11</v>
      </c>
      <c r="D205" s="2">
        <v>0.3</v>
      </c>
      <c r="E205" s="2">
        <v>2</v>
      </c>
      <c r="F205" s="2" t="str">
        <f t="shared" si="4"/>
        <v>0th</v>
      </c>
    </row>
    <row r="206" spans="1:6" x14ac:dyDescent="0.2">
      <c r="A206" s="2" t="s">
        <v>112</v>
      </c>
      <c r="B206" s="2" t="s">
        <v>3</v>
      </c>
      <c r="C206" s="2">
        <v>12</v>
      </c>
      <c r="D206" s="2">
        <v>1.2</v>
      </c>
      <c r="E206" s="2">
        <v>3</v>
      </c>
      <c r="F206" s="2" t="str">
        <f t="shared" si="4"/>
        <v>1st</v>
      </c>
    </row>
    <row r="207" spans="1:6" x14ac:dyDescent="0.2">
      <c r="A207" s="2" t="s">
        <v>112</v>
      </c>
      <c r="B207" s="2" t="s">
        <v>3</v>
      </c>
      <c r="C207" s="2">
        <v>13</v>
      </c>
      <c r="D207" s="2">
        <v>1.2</v>
      </c>
      <c r="E207" s="2">
        <v>3</v>
      </c>
      <c r="F207" s="2" t="str">
        <f t="shared" si="4"/>
        <v>1st</v>
      </c>
    </row>
    <row r="208" spans="1:6" x14ac:dyDescent="0.2">
      <c r="A208" s="2" t="s">
        <v>112</v>
      </c>
      <c r="B208" s="2" t="s">
        <v>3</v>
      </c>
      <c r="C208" s="2">
        <v>14</v>
      </c>
      <c r="D208" s="2">
        <v>1.2</v>
      </c>
      <c r="E208" s="2">
        <v>3</v>
      </c>
      <c r="F208" s="2" t="str">
        <f t="shared" si="4"/>
        <v>1st</v>
      </c>
    </row>
    <row r="209" spans="1:6" x14ac:dyDescent="0.2">
      <c r="A209" s="2" t="s">
        <v>112</v>
      </c>
      <c r="B209" s="2" t="s">
        <v>3</v>
      </c>
      <c r="C209" s="2">
        <v>15</v>
      </c>
      <c r="D209" s="2">
        <v>3.4</v>
      </c>
      <c r="E209" s="2">
        <v>4</v>
      </c>
      <c r="F209" s="2" t="str">
        <f t="shared" si="4"/>
        <v>3rd</v>
      </c>
    </row>
    <row r="210" spans="1:6" x14ac:dyDescent="0.2">
      <c r="A210" s="2" t="s">
        <v>112</v>
      </c>
      <c r="B210" s="2" t="s">
        <v>3</v>
      </c>
      <c r="C210" s="2">
        <v>16</v>
      </c>
      <c r="D210" s="2">
        <v>3.4</v>
      </c>
      <c r="E210" s="2">
        <v>4</v>
      </c>
      <c r="F210" s="2" t="str">
        <f t="shared" si="4"/>
        <v>3rd</v>
      </c>
    </row>
    <row r="211" spans="1:6" x14ac:dyDescent="0.2">
      <c r="A211" s="2" t="s">
        <v>112</v>
      </c>
      <c r="B211" s="2" t="s">
        <v>3</v>
      </c>
      <c r="C211" s="2">
        <v>17</v>
      </c>
      <c r="D211" s="2">
        <v>8.1</v>
      </c>
      <c r="E211" s="2">
        <v>5</v>
      </c>
      <c r="F211" s="2" t="str">
        <f t="shared" si="4"/>
        <v>8th</v>
      </c>
    </row>
    <row r="212" spans="1:6" x14ac:dyDescent="0.2">
      <c r="A212" s="2" t="s">
        <v>112</v>
      </c>
      <c r="B212" s="2" t="s">
        <v>3</v>
      </c>
      <c r="C212" s="2">
        <v>18</v>
      </c>
      <c r="D212" s="2">
        <v>8.1</v>
      </c>
      <c r="E212" s="2">
        <v>5</v>
      </c>
      <c r="F212" s="2" t="str">
        <f t="shared" si="4"/>
        <v>8th</v>
      </c>
    </row>
    <row r="213" spans="1:6" x14ac:dyDescent="0.2">
      <c r="A213" s="2" t="s">
        <v>112</v>
      </c>
      <c r="B213" s="2" t="s">
        <v>3</v>
      </c>
      <c r="C213" s="2">
        <v>19</v>
      </c>
      <c r="D213" s="2">
        <v>17.399999999999999</v>
      </c>
      <c r="E213" s="2">
        <v>6</v>
      </c>
      <c r="F213" s="2" t="str">
        <f t="shared" si="4"/>
        <v>17th</v>
      </c>
    </row>
    <row r="214" spans="1:6" x14ac:dyDescent="0.2">
      <c r="A214" s="2" t="s">
        <v>112</v>
      </c>
      <c r="B214" s="2" t="s">
        <v>3</v>
      </c>
      <c r="C214" s="2">
        <v>20</v>
      </c>
      <c r="D214" s="2">
        <v>17.399999999999999</v>
      </c>
      <c r="E214" s="2">
        <v>6</v>
      </c>
      <c r="F214" s="2" t="str">
        <f t="shared" si="4"/>
        <v>17th</v>
      </c>
    </row>
    <row r="215" spans="1:6" x14ac:dyDescent="0.2">
      <c r="A215" s="2" t="s">
        <v>112</v>
      </c>
      <c r="B215" s="2" t="s">
        <v>3</v>
      </c>
      <c r="C215" s="2">
        <v>21</v>
      </c>
      <c r="D215" s="2">
        <v>31</v>
      </c>
      <c r="E215" s="2">
        <v>7</v>
      </c>
      <c r="F215" s="2" t="str">
        <f t="shared" si="4"/>
        <v>31st</v>
      </c>
    </row>
    <row r="216" spans="1:6" x14ac:dyDescent="0.2">
      <c r="A216" s="2" t="s">
        <v>112</v>
      </c>
      <c r="B216" s="2" t="s">
        <v>3</v>
      </c>
      <c r="C216" s="2">
        <v>22</v>
      </c>
      <c r="D216" s="2">
        <v>31</v>
      </c>
      <c r="E216" s="2">
        <v>7</v>
      </c>
      <c r="F216" s="2" t="str">
        <f t="shared" si="4"/>
        <v>31st</v>
      </c>
    </row>
    <row r="217" spans="1:6" x14ac:dyDescent="0.2">
      <c r="A217" s="2" t="s">
        <v>112</v>
      </c>
      <c r="B217" s="2" t="s">
        <v>3</v>
      </c>
      <c r="C217" s="2">
        <v>23</v>
      </c>
      <c r="D217" s="2">
        <v>31</v>
      </c>
      <c r="E217" s="2">
        <v>7</v>
      </c>
      <c r="F217" s="2" t="str">
        <f t="shared" si="4"/>
        <v>31st</v>
      </c>
    </row>
    <row r="218" spans="1:6" x14ac:dyDescent="0.2">
      <c r="A218" s="2" t="s">
        <v>112</v>
      </c>
      <c r="B218" s="2" t="s">
        <v>3</v>
      </c>
      <c r="C218" s="2">
        <v>24</v>
      </c>
      <c r="D218" s="2">
        <v>47.6</v>
      </c>
      <c r="E218" s="2">
        <v>8</v>
      </c>
      <c r="F218" s="2" t="str">
        <f t="shared" si="4"/>
        <v>48th</v>
      </c>
    </row>
    <row r="219" spans="1:6" x14ac:dyDescent="0.2">
      <c r="A219" s="2" t="s">
        <v>112</v>
      </c>
      <c r="B219" s="2" t="s">
        <v>3</v>
      </c>
      <c r="C219" s="2">
        <v>25</v>
      </c>
      <c r="D219" s="2">
        <v>47.6</v>
      </c>
      <c r="E219" s="2">
        <v>8</v>
      </c>
      <c r="F219" s="2" t="str">
        <f t="shared" si="4"/>
        <v>48th</v>
      </c>
    </row>
    <row r="220" spans="1:6" x14ac:dyDescent="0.2">
      <c r="A220" s="2" t="s">
        <v>112</v>
      </c>
      <c r="B220" s="2" t="s">
        <v>3</v>
      </c>
      <c r="C220" s="2">
        <v>26</v>
      </c>
      <c r="D220" s="2">
        <v>47.6</v>
      </c>
      <c r="E220" s="2">
        <v>8</v>
      </c>
      <c r="F220" s="2" t="str">
        <f t="shared" si="4"/>
        <v>48th</v>
      </c>
    </row>
    <row r="221" spans="1:6" x14ac:dyDescent="0.2">
      <c r="A221" s="2" t="s">
        <v>112</v>
      </c>
      <c r="B221" s="2" t="s">
        <v>3</v>
      </c>
      <c r="C221" s="2">
        <v>27</v>
      </c>
      <c r="D221" s="2">
        <v>61.6</v>
      </c>
      <c r="E221" s="2">
        <v>9</v>
      </c>
      <c r="F221" s="2" t="str">
        <f t="shared" si="4"/>
        <v>62nd</v>
      </c>
    </row>
    <row r="222" spans="1:6" x14ac:dyDescent="0.2">
      <c r="A222" s="2" t="s">
        <v>112</v>
      </c>
      <c r="B222" s="2" t="s">
        <v>3</v>
      </c>
      <c r="C222" s="2">
        <v>28</v>
      </c>
      <c r="D222" s="2">
        <v>61.6</v>
      </c>
      <c r="E222" s="2">
        <v>9</v>
      </c>
      <c r="F222" s="2" t="str">
        <f t="shared" si="4"/>
        <v>62nd</v>
      </c>
    </row>
    <row r="223" spans="1:6" x14ac:dyDescent="0.2">
      <c r="A223" s="2" t="s">
        <v>112</v>
      </c>
      <c r="B223" s="2" t="s">
        <v>3</v>
      </c>
      <c r="C223" s="2">
        <v>29</v>
      </c>
      <c r="D223" s="2">
        <v>61.6</v>
      </c>
      <c r="E223" s="2">
        <v>9</v>
      </c>
      <c r="F223" s="2" t="str">
        <f t="shared" si="4"/>
        <v>62nd</v>
      </c>
    </row>
    <row r="224" spans="1:6" x14ac:dyDescent="0.2">
      <c r="A224" s="2" t="s">
        <v>112</v>
      </c>
      <c r="B224" s="2" t="s">
        <v>3</v>
      </c>
      <c r="C224" s="2">
        <v>30</v>
      </c>
      <c r="D224" s="2">
        <v>74</v>
      </c>
      <c r="E224" s="2">
        <v>10</v>
      </c>
      <c r="F224" s="2" t="str">
        <f t="shared" si="4"/>
        <v>74th</v>
      </c>
    </row>
    <row r="225" spans="1:6" x14ac:dyDescent="0.2">
      <c r="A225" s="2" t="s">
        <v>112</v>
      </c>
      <c r="B225" s="2" t="s">
        <v>3</v>
      </c>
      <c r="C225" s="2">
        <v>31</v>
      </c>
      <c r="D225" s="2">
        <v>74</v>
      </c>
      <c r="E225" s="2">
        <v>10</v>
      </c>
      <c r="F225" s="2" t="str">
        <f t="shared" si="4"/>
        <v>74th</v>
      </c>
    </row>
    <row r="226" spans="1:6" x14ac:dyDescent="0.2">
      <c r="A226" s="2" t="s">
        <v>112</v>
      </c>
      <c r="B226" s="2" t="s">
        <v>3</v>
      </c>
      <c r="C226" s="2">
        <v>32</v>
      </c>
      <c r="D226" s="2">
        <v>74</v>
      </c>
      <c r="E226" s="2">
        <v>10</v>
      </c>
      <c r="F226" s="2" t="str">
        <f t="shared" si="4"/>
        <v>74th</v>
      </c>
    </row>
    <row r="227" spans="1:6" x14ac:dyDescent="0.2">
      <c r="A227" s="2" t="s">
        <v>112</v>
      </c>
      <c r="B227" s="2" t="s">
        <v>3</v>
      </c>
      <c r="C227" s="2">
        <v>33</v>
      </c>
      <c r="D227" s="2">
        <v>84.8</v>
      </c>
      <c r="E227" s="2">
        <v>11</v>
      </c>
      <c r="F227" s="2" t="str">
        <f t="shared" si="4"/>
        <v>85th</v>
      </c>
    </row>
    <row r="228" spans="1:6" x14ac:dyDescent="0.2">
      <c r="A228" s="2" t="s">
        <v>112</v>
      </c>
      <c r="B228" s="2" t="s">
        <v>3</v>
      </c>
      <c r="C228" s="2">
        <v>34</v>
      </c>
      <c r="D228" s="2">
        <v>84.8</v>
      </c>
      <c r="E228" s="2">
        <v>11</v>
      </c>
      <c r="F228" s="2" t="str">
        <f t="shared" si="4"/>
        <v>85th</v>
      </c>
    </row>
    <row r="229" spans="1:6" x14ac:dyDescent="0.2">
      <c r="A229" s="2" t="s">
        <v>112</v>
      </c>
      <c r="B229" s="2" t="s">
        <v>3</v>
      </c>
      <c r="C229" s="2">
        <v>35</v>
      </c>
      <c r="D229" s="2">
        <v>84.8</v>
      </c>
      <c r="E229" s="2">
        <v>11</v>
      </c>
      <c r="F229" s="2" t="str">
        <f t="shared" si="4"/>
        <v>85th</v>
      </c>
    </row>
    <row r="230" spans="1:6" x14ac:dyDescent="0.2">
      <c r="A230" s="2" t="s">
        <v>112</v>
      </c>
      <c r="B230" s="2" t="s">
        <v>3</v>
      </c>
      <c r="C230" s="2">
        <v>36</v>
      </c>
      <c r="D230" s="2">
        <v>84.8</v>
      </c>
      <c r="E230" s="2">
        <v>11</v>
      </c>
      <c r="F230" s="2" t="str">
        <f t="shared" si="4"/>
        <v>85th</v>
      </c>
    </row>
    <row r="231" spans="1:6" x14ac:dyDescent="0.2">
      <c r="A231" s="2" t="s">
        <v>112</v>
      </c>
      <c r="B231" s="2" t="s">
        <v>3</v>
      </c>
      <c r="C231" s="2">
        <v>37</v>
      </c>
      <c r="D231" s="2">
        <v>91.9</v>
      </c>
      <c r="E231" s="2">
        <v>12</v>
      </c>
      <c r="F231" s="2" t="str">
        <f t="shared" ref="F231:F294" si="5">IF(RIGHT(ROUND(D231,0),2)="13",ROUND(D231,0)&amp;"th",IF(RIGHT(ROUND(D231,0),2)="12",ROUND(D231,0)&amp;"th",IF(RIGHT(ROUND(D231,0),2)="11",ROUND(D231,0)&amp;"th",IF(RIGHT(ROUND(D231,0),1)="1",ROUND(D231,0)&amp;"st",IF(RIGHT(ROUND(D231,0),1)="2",ROUND(D231,0)&amp;"nd",IF(RIGHT(ROUND(D231,0),1)="3",ROUND(D231,0)&amp;"rd",ROUND(D231,0)&amp;"th"))))))</f>
        <v>92nd</v>
      </c>
    </row>
    <row r="232" spans="1:6" x14ac:dyDescent="0.2">
      <c r="A232" s="2" t="s">
        <v>112</v>
      </c>
      <c r="B232" s="2" t="s">
        <v>3</v>
      </c>
      <c r="C232" s="2">
        <v>38</v>
      </c>
      <c r="D232" s="2">
        <v>91.9</v>
      </c>
      <c r="E232" s="2">
        <v>12</v>
      </c>
      <c r="F232" s="2" t="str">
        <f t="shared" si="5"/>
        <v>92nd</v>
      </c>
    </row>
    <row r="233" spans="1:6" x14ac:dyDescent="0.2">
      <c r="A233" s="2" t="s">
        <v>112</v>
      </c>
      <c r="B233" s="2" t="s">
        <v>3</v>
      </c>
      <c r="C233" s="2">
        <v>39</v>
      </c>
      <c r="D233" s="2">
        <v>91.9</v>
      </c>
      <c r="E233" s="2">
        <v>12</v>
      </c>
      <c r="F233" s="2" t="str">
        <f t="shared" si="5"/>
        <v>92nd</v>
      </c>
    </row>
    <row r="234" spans="1:6" x14ac:dyDescent="0.2">
      <c r="A234" s="2" t="s">
        <v>112</v>
      </c>
      <c r="B234" s="2" t="s">
        <v>3</v>
      </c>
      <c r="C234" s="2">
        <v>40</v>
      </c>
      <c r="D234" s="2">
        <v>96.4</v>
      </c>
      <c r="E234" s="2">
        <v>13</v>
      </c>
      <c r="F234" s="2" t="str">
        <f t="shared" si="5"/>
        <v>96th</v>
      </c>
    </row>
    <row r="235" spans="1:6" x14ac:dyDescent="0.2">
      <c r="A235" s="2" t="s">
        <v>112</v>
      </c>
      <c r="B235" s="2" t="s">
        <v>3</v>
      </c>
      <c r="C235" s="2">
        <v>41</v>
      </c>
      <c r="D235" s="2">
        <v>96.4</v>
      </c>
      <c r="E235" s="2">
        <v>13</v>
      </c>
      <c r="F235" s="2" t="str">
        <f t="shared" si="5"/>
        <v>96th</v>
      </c>
    </row>
    <row r="236" spans="1:6" x14ac:dyDescent="0.2">
      <c r="A236" s="2" t="s">
        <v>112</v>
      </c>
      <c r="B236" s="2" t="s">
        <v>3</v>
      </c>
      <c r="C236" s="2">
        <v>42</v>
      </c>
      <c r="D236" s="2">
        <v>96.4</v>
      </c>
      <c r="E236" s="2">
        <v>13</v>
      </c>
      <c r="F236" s="2" t="str">
        <f t="shared" si="5"/>
        <v>96th</v>
      </c>
    </row>
    <row r="237" spans="1:6" x14ac:dyDescent="0.2">
      <c r="A237" s="2" t="s">
        <v>112</v>
      </c>
      <c r="B237" s="2" t="s">
        <v>3</v>
      </c>
      <c r="C237" s="2">
        <v>43</v>
      </c>
      <c r="D237" s="2">
        <v>98.9</v>
      </c>
      <c r="E237" s="2">
        <v>14</v>
      </c>
      <c r="F237" s="2" t="str">
        <f t="shared" si="5"/>
        <v>99th</v>
      </c>
    </row>
    <row r="238" spans="1:6" x14ac:dyDescent="0.2">
      <c r="A238" s="2" t="s">
        <v>112</v>
      </c>
      <c r="B238" s="2" t="s">
        <v>3</v>
      </c>
      <c r="C238" s="2">
        <v>44</v>
      </c>
      <c r="D238" s="2">
        <v>98.9</v>
      </c>
      <c r="E238" s="2">
        <v>14</v>
      </c>
      <c r="F238" s="2" t="str">
        <f t="shared" si="5"/>
        <v>99th</v>
      </c>
    </row>
    <row r="239" spans="1:6" x14ac:dyDescent="0.2">
      <c r="A239" s="2" t="s">
        <v>112</v>
      </c>
      <c r="B239" s="2" t="s">
        <v>3</v>
      </c>
      <c r="C239" s="2">
        <v>45</v>
      </c>
      <c r="D239" s="2">
        <v>98.9</v>
      </c>
      <c r="E239" s="2">
        <v>14</v>
      </c>
      <c r="F239" s="2" t="str">
        <f t="shared" si="5"/>
        <v>99th</v>
      </c>
    </row>
    <row r="240" spans="1:6" x14ac:dyDescent="0.2">
      <c r="A240" s="2" t="s">
        <v>112</v>
      </c>
      <c r="B240" s="2" t="s">
        <v>3</v>
      </c>
      <c r="C240" s="2">
        <v>46</v>
      </c>
      <c r="D240" s="2">
        <v>98.9</v>
      </c>
      <c r="E240" s="2">
        <v>14</v>
      </c>
      <c r="F240" s="2" t="str">
        <f t="shared" si="5"/>
        <v>99th</v>
      </c>
    </row>
    <row r="241" spans="1:6" x14ac:dyDescent="0.2">
      <c r="A241" s="2" t="s">
        <v>112</v>
      </c>
      <c r="B241" s="2" t="s">
        <v>3</v>
      </c>
      <c r="C241" s="2">
        <v>47</v>
      </c>
      <c r="D241" s="2">
        <v>99.8</v>
      </c>
      <c r="E241" s="2">
        <v>15</v>
      </c>
      <c r="F241" s="2" t="str">
        <f t="shared" si="5"/>
        <v>100th</v>
      </c>
    </row>
    <row r="242" spans="1:6" x14ac:dyDescent="0.2">
      <c r="A242" s="2" t="s">
        <v>112</v>
      </c>
      <c r="B242" s="2" t="s">
        <v>3</v>
      </c>
      <c r="C242" s="2">
        <v>48</v>
      </c>
      <c r="D242" s="2">
        <v>99.8</v>
      </c>
      <c r="E242" s="2">
        <v>15</v>
      </c>
      <c r="F242" s="2" t="str">
        <f t="shared" si="5"/>
        <v>100th</v>
      </c>
    </row>
    <row r="243" spans="1:6" x14ac:dyDescent="0.2">
      <c r="A243" s="2" t="s">
        <v>112</v>
      </c>
      <c r="B243" s="2" t="s">
        <v>3</v>
      </c>
      <c r="C243" s="2">
        <v>49</v>
      </c>
      <c r="D243" s="2">
        <v>99.8</v>
      </c>
      <c r="E243" s="2">
        <v>15</v>
      </c>
      <c r="F243" s="2" t="str">
        <f t="shared" si="5"/>
        <v>100th</v>
      </c>
    </row>
    <row r="244" spans="1:6" x14ac:dyDescent="0.2">
      <c r="A244" s="2" t="s">
        <v>112</v>
      </c>
      <c r="B244" s="2" t="s">
        <v>3</v>
      </c>
      <c r="C244" s="2">
        <v>50</v>
      </c>
      <c r="D244" s="2">
        <v>99.8</v>
      </c>
      <c r="E244" s="2">
        <v>15</v>
      </c>
      <c r="F244" s="2" t="str">
        <f t="shared" si="5"/>
        <v>100th</v>
      </c>
    </row>
    <row r="245" spans="1:6" x14ac:dyDescent="0.2">
      <c r="A245" s="2" t="s">
        <v>112</v>
      </c>
      <c r="B245" s="2" t="s">
        <v>3</v>
      </c>
      <c r="C245" s="2">
        <v>51</v>
      </c>
      <c r="D245" s="2">
        <v>99.8</v>
      </c>
      <c r="E245" s="2">
        <v>15</v>
      </c>
      <c r="F245" s="2" t="str">
        <f t="shared" si="5"/>
        <v>100th</v>
      </c>
    </row>
    <row r="246" spans="1:6" x14ac:dyDescent="0.2">
      <c r="A246" s="2" t="s">
        <v>112</v>
      </c>
      <c r="B246" s="2" t="s">
        <v>3</v>
      </c>
      <c r="C246" s="2">
        <v>52</v>
      </c>
      <c r="D246" s="2">
        <v>99.8</v>
      </c>
      <c r="E246" s="2">
        <v>15</v>
      </c>
      <c r="F246" s="2" t="str">
        <f t="shared" si="5"/>
        <v>100th</v>
      </c>
    </row>
    <row r="247" spans="1:6" x14ac:dyDescent="0.2">
      <c r="A247" s="2" t="s">
        <v>112</v>
      </c>
      <c r="B247" s="2" t="s">
        <v>4</v>
      </c>
      <c r="C247" s="2">
        <v>0</v>
      </c>
      <c r="D247" s="2">
        <v>0.4</v>
      </c>
      <c r="E247" s="2">
        <v>1</v>
      </c>
      <c r="F247" s="2" t="str">
        <f t="shared" si="5"/>
        <v>0th</v>
      </c>
    </row>
    <row r="248" spans="1:6" x14ac:dyDescent="0.2">
      <c r="A248" s="2" t="s">
        <v>112</v>
      </c>
      <c r="B248" s="2" t="s">
        <v>4</v>
      </c>
      <c r="C248" s="2">
        <v>1</v>
      </c>
      <c r="D248" s="2">
        <v>0.4</v>
      </c>
      <c r="E248" s="2">
        <v>1</v>
      </c>
      <c r="F248" s="2" t="str">
        <f t="shared" si="5"/>
        <v>0th</v>
      </c>
    </row>
    <row r="249" spans="1:6" x14ac:dyDescent="0.2">
      <c r="A249" s="2" t="s">
        <v>112</v>
      </c>
      <c r="B249" s="2" t="s">
        <v>4</v>
      </c>
      <c r="C249" s="2">
        <v>2</v>
      </c>
      <c r="D249" s="2">
        <v>0.4</v>
      </c>
      <c r="E249" s="2">
        <v>1</v>
      </c>
      <c r="F249" s="2" t="str">
        <f t="shared" si="5"/>
        <v>0th</v>
      </c>
    </row>
    <row r="250" spans="1:6" x14ac:dyDescent="0.2">
      <c r="A250" s="2" t="s">
        <v>112</v>
      </c>
      <c r="B250" s="2" t="s">
        <v>4</v>
      </c>
      <c r="C250" s="2">
        <v>3</v>
      </c>
      <c r="D250" s="2">
        <v>0.4</v>
      </c>
      <c r="E250" s="2">
        <v>1</v>
      </c>
      <c r="F250" s="2" t="str">
        <f t="shared" si="5"/>
        <v>0th</v>
      </c>
    </row>
    <row r="251" spans="1:6" x14ac:dyDescent="0.2">
      <c r="A251" s="2" t="s">
        <v>112</v>
      </c>
      <c r="B251" s="2" t="s">
        <v>4</v>
      </c>
      <c r="C251" s="2">
        <v>4</v>
      </c>
      <c r="D251" s="2">
        <v>0.4</v>
      </c>
      <c r="E251" s="2">
        <v>1</v>
      </c>
      <c r="F251" s="2" t="str">
        <f t="shared" si="5"/>
        <v>0th</v>
      </c>
    </row>
    <row r="252" spans="1:6" x14ac:dyDescent="0.2">
      <c r="A252" s="2" t="s">
        <v>112</v>
      </c>
      <c r="B252" s="2" t="s">
        <v>4</v>
      </c>
      <c r="C252" s="2">
        <v>5</v>
      </c>
      <c r="D252" s="2">
        <v>1.8</v>
      </c>
      <c r="E252" s="2">
        <v>2</v>
      </c>
      <c r="F252" s="2" t="str">
        <f t="shared" si="5"/>
        <v>2nd</v>
      </c>
    </row>
    <row r="253" spans="1:6" x14ac:dyDescent="0.2">
      <c r="A253" s="2" t="s">
        <v>112</v>
      </c>
      <c r="B253" s="2" t="s">
        <v>4</v>
      </c>
      <c r="C253" s="2">
        <v>6</v>
      </c>
      <c r="D253" s="2">
        <v>1.8</v>
      </c>
      <c r="E253" s="2">
        <v>2</v>
      </c>
      <c r="F253" s="2" t="str">
        <f t="shared" si="5"/>
        <v>2nd</v>
      </c>
    </row>
    <row r="254" spans="1:6" x14ac:dyDescent="0.2">
      <c r="A254" s="2" t="s">
        <v>112</v>
      </c>
      <c r="B254" s="2" t="s">
        <v>4</v>
      </c>
      <c r="C254" s="2">
        <v>7</v>
      </c>
      <c r="D254" s="2">
        <v>1.8</v>
      </c>
      <c r="E254" s="2">
        <v>2</v>
      </c>
      <c r="F254" s="2" t="str">
        <f t="shared" si="5"/>
        <v>2nd</v>
      </c>
    </row>
    <row r="255" spans="1:6" x14ac:dyDescent="0.2">
      <c r="A255" s="2" t="s">
        <v>112</v>
      </c>
      <c r="B255" s="2" t="s">
        <v>4</v>
      </c>
      <c r="C255" s="2">
        <v>8</v>
      </c>
      <c r="D255" s="2">
        <v>4.3</v>
      </c>
      <c r="E255" s="2">
        <v>3</v>
      </c>
      <c r="F255" s="2" t="str">
        <f t="shared" si="5"/>
        <v>4th</v>
      </c>
    </row>
    <row r="256" spans="1:6" x14ac:dyDescent="0.2">
      <c r="A256" s="2" t="s">
        <v>112</v>
      </c>
      <c r="B256" s="2" t="s">
        <v>4</v>
      </c>
      <c r="C256" s="2">
        <v>9</v>
      </c>
      <c r="D256" s="2">
        <v>4.3</v>
      </c>
      <c r="E256" s="2">
        <v>3</v>
      </c>
      <c r="F256" s="2" t="str">
        <f t="shared" si="5"/>
        <v>4th</v>
      </c>
    </row>
    <row r="257" spans="1:6" x14ac:dyDescent="0.2">
      <c r="A257" s="2" t="s">
        <v>112</v>
      </c>
      <c r="B257" s="2" t="s">
        <v>4</v>
      </c>
      <c r="C257" s="2">
        <v>10</v>
      </c>
      <c r="D257" s="2">
        <v>4.3</v>
      </c>
      <c r="E257" s="2">
        <v>3</v>
      </c>
      <c r="F257" s="2" t="str">
        <f t="shared" si="5"/>
        <v>4th</v>
      </c>
    </row>
    <row r="258" spans="1:6" x14ac:dyDescent="0.2">
      <c r="A258" s="2" t="s">
        <v>112</v>
      </c>
      <c r="B258" s="2" t="s">
        <v>4</v>
      </c>
      <c r="C258" s="2">
        <v>11</v>
      </c>
      <c r="D258" s="2">
        <v>8.3000000000000007</v>
      </c>
      <c r="E258" s="2">
        <v>4</v>
      </c>
      <c r="F258" s="2" t="str">
        <f t="shared" si="5"/>
        <v>8th</v>
      </c>
    </row>
    <row r="259" spans="1:6" x14ac:dyDescent="0.2">
      <c r="A259" s="2" t="s">
        <v>112</v>
      </c>
      <c r="B259" s="2" t="s">
        <v>4</v>
      </c>
      <c r="C259" s="2">
        <v>12</v>
      </c>
      <c r="D259" s="2">
        <v>8.3000000000000007</v>
      </c>
      <c r="E259" s="2">
        <v>4</v>
      </c>
      <c r="F259" s="2" t="str">
        <f t="shared" si="5"/>
        <v>8th</v>
      </c>
    </row>
    <row r="260" spans="1:6" x14ac:dyDescent="0.2">
      <c r="A260" s="2" t="s">
        <v>112</v>
      </c>
      <c r="B260" s="2" t="s">
        <v>4</v>
      </c>
      <c r="C260" s="2">
        <v>13</v>
      </c>
      <c r="D260" s="2">
        <v>8.3000000000000007</v>
      </c>
      <c r="E260" s="2">
        <v>4</v>
      </c>
      <c r="F260" s="2" t="str">
        <f t="shared" si="5"/>
        <v>8th</v>
      </c>
    </row>
    <row r="261" spans="1:6" x14ac:dyDescent="0.2">
      <c r="A261" s="2" t="s">
        <v>112</v>
      </c>
      <c r="B261" s="2" t="s">
        <v>4</v>
      </c>
      <c r="C261" s="2">
        <v>14</v>
      </c>
      <c r="D261" s="2">
        <v>8.3000000000000007</v>
      </c>
      <c r="E261" s="2">
        <v>4</v>
      </c>
      <c r="F261" s="2" t="str">
        <f t="shared" si="5"/>
        <v>8th</v>
      </c>
    </row>
    <row r="262" spans="1:6" x14ac:dyDescent="0.2">
      <c r="A262" s="2" t="s">
        <v>112</v>
      </c>
      <c r="B262" s="2" t="s">
        <v>4</v>
      </c>
      <c r="C262" s="2">
        <v>15</v>
      </c>
      <c r="D262" s="2">
        <v>8.3000000000000007</v>
      </c>
      <c r="E262" s="2">
        <v>4</v>
      </c>
      <c r="F262" s="2" t="str">
        <f t="shared" si="5"/>
        <v>8th</v>
      </c>
    </row>
    <row r="263" spans="1:6" x14ac:dyDescent="0.2">
      <c r="A263" s="2" t="s">
        <v>112</v>
      </c>
      <c r="B263" s="2" t="s">
        <v>4</v>
      </c>
      <c r="C263" s="2">
        <v>16</v>
      </c>
      <c r="D263" s="2">
        <v>8.3000000000000007</v>
      </c>
      <c r="E263" s="2">
        <v>4</v>
      </c>
      <c r="F263" s="2" t="str">
        <f t="shared" si="5"/>
        <v>8th</v>
      </c>
    </row>
    <row r="264" spans="1:6" x14ac:dyDescent="0.2">
      <c r="A264" s="2" t="s">
        <v>112</v>
      </c>
      <c r="B264" s="2" t="s">
        <v>4</v>
      </c>
      <c r="C264" s="2">
        <v>17</v>
      </c>
      <c r="D264" s="2">
        <v>8.3000000000000007</v>
      </c>
      <c r="E264" s="2">
        <v>4</v>
      </c>
      <c r="F264" s="2" t="str">
        <f t="shared" si="5"/>
        <v>8th</v>
      </c>
    </row>
    <row r="265" spans="1:6" x14ac:dyDescent="0.2">
      <c r="A265" s="2" t="s">
        <v>112</v>
      </c>
      <c r="B265" s="2" t="s">
        <v>4</v>
      </c>
      <c r="C265" s="2">
        <v>18</v>
      </c>
      <c r="D265" s="2">
        <v>8.3000000000000007</v>
      </c>
      <c r="E265" s="2">
        <v>4</v>
      </c>
      <c r="F265" s="2" t="str">
        <f t="shared" si="5"/>
        <v>8th</v>
      </c>
    </row>
    <row r="266" spans="1:6" x14ac:dyDescent="0.2">
      <c r="A266" s="2" t="s">
        <v>112</v>
      </c>
      <c r="B266" s="2" t="s">
        <v>4</v>
      </c>
      <c r="C266" s="2">
        <v>19</v>
      </c>
      <c r="D266" s="2">
        <v>13.7</v>
      </c>
      <c r="E266" s="2">
        <v>5</v>
      </c>
      <c r="F266" s="2" t="str">
        <f t="shared" si="5"/>
        <v>14th</v>
      </c>
    </row>
    <row r="267" spans="1:6" x14ac:dyDescent="0.2">
      <c r="A267" s="2" t="s">
        <v>112</v>
      </c>
      <c r="B267" s="2" t="s">
        <v>4</v>
      </c>
      <c r="C267" s="2">
        <v>20</v>
      </c>
      <c r="D267" s="2">
        <v>13.7</v>
      </c>
      <c r="E267" s="2">
        <v>5</v>
      </c>
      <c r="F267" s="2" t="str">
        <f t="shared" si="5"/>
        <v>14th</v>
      </c>
    </row>
    <row r="268" spans="1:6" x14ac:dyDescent="0.2">
      <c r="A268" s="2" t="s">
        <v>112</v>
      </c>
      <c r="B268" s="2" t="s">
        <v>4</v>
      </c>
      <c r="C268" s="2">
        <v>21</v>
      </c>
      <c r="D268" s="2">
        <v>13.7</v>
      </c>
      <c r="E268" s="2">
        <v>5</v>
      </c>
      <c r="F268" s="2" t="str">
        <f t="shared" si="5"/>
        <v>14th</v>
      </c>
    </row>
    <row r="269" spans="1:6" x14ac:dyDescent="0.2">
      <c r="A269" s="2" t="s">
        <v>112</v>
      </c>
      <c r="B269" s="2" t="s">
        <v>4</v>
      </c>
      <c r="C269" s="2">
        <v>22</v>
      </c>
      <c r="D269" s="2">
        <v>13.7</v>
      </c>
      <c r="E269" s="2">
        <v>5</v>
      </c>
      <c r="F269" s="2" t="str">
        <f t="shared" si="5"/>
        <v>14th</v>
      </c>
    </row>
    <row r="270" spans="1:6" x14ac:dyDescent="0.2">
      <c r="A270" s="2" t="s">
        <v>112</v>
      </c>
      <c r="B270" s="2" t="s">
        <v>4</v>
      </c>
      <c r="C270" s="2">
        <v>23</v>
      </c>
      <c r="D270" s="2">
        <v>22.6</v>
      </c>
      <c r="E270" s="2">
        <v>6</v>
      </c>
      <c r="F270" s="2" t="str">
        <f t="shared" si="5"/>
        <v>23rd</v>
      </c>
    </row>
    <row r="271" spans="1:6" x14ac:dyDescent="0.2">
      <c r="A271" s="2" t="s">
        <v>112</v>
      </c>
      <c r="B271" s="2" t="s">
        <v>4</v>
      </c>
      <c r="C271" s="2">
        <v>24</v>
      </c>
      <c r="D271" s="2">
        <v>22.6</v>
      </c>
      <c r="E271" s="2">
        <v>6</v>
      </c>
      <c r="F271" s="2" t="str">
        <f t="shared" si="5"/>
        <v>23rd</v>
      </c>
    </row>
    <row r="272" spans="1:6" x14ac:dyDescent="0.2">
      <c r="A272" s="2" t="s">
        <v>112</v>
      </c>
      <c r="B272" s="2" t="s">
        <v>4</v>
      </c>
      <c r="C272" s="2">
        <v>25</v>
      </c>
      <c r="D272" s="2">
        <v>22.6</v>
      </c>
      <c r="E272" s="2">
        <v>6</v>
      </c>
      <c r="F272" s="2" t="str">
        <f t="shared" si="5"/>
        <v>23rd</v>
      </c>
    </row>
    <row r="273" spans="1:6" x14ac:dyDescent="0.2">
      <c r="A273" s="2" t="s">
        <v>112</v>
      </c>
      <c r="B273" s="2" t="s">
        <v>4</v>
      </c>
      <c r="C273" s="2">
        <v>26</v>
      </c>
      <c r="D273" s="2">
        <v>34</v>
      </c>
      <c r="E273" s="2">
        <v>7</v>
      </c>
      <c r="F273" s="2" t="str">
        <f t="shared" si="5"/>
        <v>34th</v>
      </c>
    </row>
    <row r="274" spans="1:6" x14ac:dyDescent="0.2">
      <c r="A274" s="2" t="s">
        <v>112</v>
      </c>
      <c r="B274" s="2" t="s">
        <v>4</v>
      </c>
      <c r="C274" s="2">
        <v>27</v>
      </c>
      <c r="D274" s="2">
        <v>34</v>
      </c>
      <c r="E274" s="2">
        <v>7</v>
      </c>
      <c r="F274" s="2" t="str">
        <f t="shared" si="5"/>
        <v>34th</v>
      </c>
    </row>
    <row r="275" spans="1:6" x14ac:dyDescent="0.2">
      <c r="A275" s="2" t="s">
        <v>112</v>
      </c>
      <c r="B275" s="2" t="s">
        <v>4</v>
      </c>
      <c r="C275" s="2">
        <v>28</v>
      </c>
      <c r="D275" s="2">
        <v>45.4</v>
      </c>
      <c r="E275" s="2">
        <v>8</v>
      </c>
      <c r="F275" s="2" t="str">
        <f t="shared" si="5"/>
        <v>45th</v>
      </c>
    </row>
    <row r="276" spans="1:6" x14ac:dyDescent="0.2">
      <c r="A276" s="2" t="s">
        <v>112</v>
      </c>
      <c r="B276" s="2" t="s">
        <v>4</v>
      </c>
      <c r="C276" s="2">
        <v>29</v>
      </c>
      <c r="D276" s="2">
        <v>45.4</v>
      </c>
      <c r="E276" s="2">
        <v>8</v>
      </c>
      <c r="F276" s="2" t="str">
        <f t="shared" si="5"/>
        <v>45th</v>
      </c>
    </row>
    <row r="277" spans="1:6" x14ac:dyDescent="0.2">
      <c r="A277" s="2" t="s">
        <v>112</v>
      </c>
      <c r="B277" s="2" t="s">
        <v>4</v>
      </c>
      <c r="C277" s="2">
        <v>30</v>
      </c>
      <c r="D277" s="2">
        <v>60.8</v>
      </c>
      <c r="E277" s="2">
        <v>9</v>
      </c>
      <c r="F277" s="2" t="str">
        <f t="shared" si="5"/>
        <v>61st</v>
      </c>
    </row>
    <row r="278" spans="1:6" x14ac:dyDescent="0.2">
      <c r="A278" s="2" t="s">
        <v>112</v>
      </c>
      <c r="B278" s="2" t="s">
        <v>4</v>
      </c>
      <c r="C278" s="2">
        <v>31</v>
      </c>
      <c r="D278" s="2">
        <v>60.8</v>
      </c>
      <c r="E278" s="2">
        <v>9</v>
      </c>
      <c r="F278" s="2" t="str">
        <f t="shared" si="5"/>
        <v>61st</v>
      </c>
    </row>
    <row r="279" spans="1:6" x14ac:dyDescent="0.2">
      <c r="A279" s="2" t="s">
        <v>112</v>
      </c>
      <c r="B279" s="2" t="s">
        <v>4</v>
      </c>
      <c r="C279" s="2">
        <v>32</v>
      </c>
      <c r="D279" s="2">
        <v>76.8</v>
      </c>
      <c r="E279" s="2">
        <v>10</v>
      </c>
      <c r="F279" s="2" t="str">
        <f t="shared" si="5"/>
        <v>77th</v>
      </c>
    </row>
    <row r="280" spans="1:6" x14ac:dyDescent="0.2">
      <c r="A280" s="2" t="s">
        <v>112</v>
      </c>
      <c r="B280" s="2" t="s">
        <v>4</v>
      </c>
      <c r="C280" s="2">
        <v>33</v>
      </c>
      <c r="D280" s="2">
        <v>76.8</v>
      </c>
      <c r="E280" s="2">
        <v>10</v>
      </c>
      <c r="F280" s="2" t="str">
        <f t="shared" si="5"/>
        <v>77th</v>
      </c>
    </row>
    <row r="281" spans="1:6" x14ac:dyDescent="0.2">
      <c r="A281" s="2" t="s">
        <v>112</v>
      </c>
      <c r="B281" s="2" t="s">
        <v>4</v>
      </c>
      <c r="C281" s="2">
        <v>34</v>
      </c>
      <c r="D281" s="2">
        <v>90.3</v>
      </c>
      <c r="E281" s="2">
        <v>11</v>
      </c>
      <c r="F281" s="2" t="str">
        <f t="shared" si="5"/>
        <v>90th</v>
      </c>
    </row>
    <row r="282" spans="1:6" x14ac:dyDescent="0.2">
      <c r="A282" s="2" t="s">
        <v>112</v>
      </c>
      <c r="B282" s="2" t="s">
        <v>4</v>
      </c>
      <c r="C282" s="2">
        <v>35</v>
      </c>
      <c r="D282" s="2">
        <v>90.3</v>
      </c>
      <c r="E282" s="2">
        <v>11</v>
      </c>
      <c r="F282" s="2" t="str">
        <f t="shared" si="5"/>
        <v>90th</v>
      </c>
    </row>
    <row r="283" spans="1:6" x14ac:dyDescent="0.2">
      <c r="A283" s="2" t="s">
        <v>112</v>
      </c>
      <c r="B283" s="2" t="s">
        <v>4</v>
      </c>
      <c r="C283" s="2">
        <v>36</v>
      </c>
      <c r="D283" s="2">
        <v>96.7</v>
      </c>
      <c r="E283" s="2">
        <v>12</v>
      </c>
      <c r="F283" s="2" t="str">
        <f t="shared" si="5"/>
        <v>97th</v>
      </c>
    </row>
    <row r="284" spans="1:6" x14ac:dyDescent="0.2">
      <c r="A284" s="2" t="s">
        <v>112</v>
      </c>
      <c r="B284" s="2" t="s">
        <v>4</v>
      </c>
      <c r="C284" s="2">
        <v>37</v>
      </c>
      <c r="D284" s="2">
        <v>96.7</v>
      </c>
      <c r="E284" s="2">
        <v>12</v>
      </c>
      <c r="F284" s="2" t="str">
        <f t="shared" si="5"/>
        <v>97th</v>
      </c>
    </row>
    <row r="285" spans="1:6" x14ac:dyDescent="0.2">
      <c r="A285" s="2" t="s">
        <v>112</v>
      </c>
      <c r="B285" s="2" t="s">
        <v>4</v>
      </c>
      <c r="C285" s="2">
        <v>38</v>
      </c>
      <c r="D285" s="2">
        <v>98.9</v>
      </c>
      <c r="E285" s="2">
        <v>13</v>
      </c>
      <c r="F285" s="2" t="str">
        <f t="shared" si="5"/>
        <v>99th</v>
      </c>
    </row>
    <row r="286" spans="1:6" x14ac:dyDescent="0.2">
      <c r="A286" s="2" t="s">
        <v>112</v>
      </c>
      <c r="B286" s="2" t="s">
        <v>4</v>
      </c>
      <c r="C286" s="2">
        <v>39</v>
      </c>
      <c r="D286" s="2">
        <v>99.8</v>
      </c>
      <c r="E286" s="2">
        <v>14</v>
      </c>
      <c r="F286" s="2" t="str">
        <f t="shared" si="5"/>
        <v>100th</v>
      </c>
    </row>
    <row r="287" spans="1:6" x14ac:dyDescent="0.2">
      <c r="A287" s="2" t="s">
        <v>112</v>
      </c>
      <c r="B287" s="2" t="s">
        <v>4</v>
      </c>
      <c r="C287" s="2">
        <v>40</v>
      </c>
      <c r="D287" s="2">
        <v>99.9</v>
      </c>
      <c r="E287" s="2">
        <v>15</v>
      </c>
      <c r="F287" s="2" t="str">
        <f t="shared" si="5"/>
        <v>100th</v>
      </c>
    </row>
    <row r="288" spans="1:6" x14ac:dyDescent="0.2">
      <c r="A288" s="2" t="s">
        <v>112</v>
      </c>
      <c r="B288" s="2" t="s">
        <v>5</v>
      </c>
      <c r="C288" s="2">
        <v>0</v>
      </c>
      <c r="D288" s="2">
        <v>0.3</v>
      </c>
      <c r="E288" s="2">
        <v>1</v>
      </c>
      <c r="F288" s="2" t="str">
        <f t="shared" si="5"/>
        <v>0th</v>
      </c>
    </row>
    <row r="289" spans="1:6" x14ac:dyDescent="0.2">
      <c r="A289" s="2" t="s">
        <v>112</v>
      </c>
      <c r="B289" s="2" t="s">
        <v>5</v>
      </c>
      <c r="C289" s="2">
        <v>1</v>
      </c>
      <c r="D289" s="2">
        <v>0.3</v>
      </c>
      <c r="E289" s="2">
        <v>1</v>
      </c>
      <c r="F289" s="2" t="str">
        <f t="shared" si="5"/>
        <v>0th</v>
      </c>
    </row>
    <row r="290" spans="1:6" x14ac:dyDescent="0.2">
      <c r="A290" s="2" t="s">
        <v>112</v>
      </c>
      <c r="B290" s="2" t="s">
        <v>5</v>
      </c>
      <c r="C290" s="2">
        <v>2</v>
      </c>
      <c r="D290" s="2">
        <v>0.3</v>
      </c>
      <c r="E290" s="2">
        <v>1</v>
      </c>
      <c r="F290" s="2" t="str">
        <f t="shared" si="5"/>
        <v>0th</v>
      </c>
    </row>
    <row r="291" spans="1:6" x14ac:dyDescent="0.2">
      <c r="A291" s="2" t="s">
        <v>112</v>
      </c>
      <c r="B291" s="2" t="s">
        <v>5</v>
      </c>
      <c r="C291" s="2">
        <v>3</v>
      </c>
      <c r="D291" s="2">
        <v>0.3</v>
      </c>
      <c r="E291" s="2">
        <v>1</v>
      </c>
      <c r="F291" s="2" t="str">
        <f t="shared" si="5"/>
        <v>0th</v>
      </c>
    </row>
    <row r="292" spans="1:6" x14ac:dyDescent="0.2">
      <c r="A292" s="2" t="s">
        <v>112</v>
      </c>
      <c r="B292" s="2" t="s">
        <v>5</v>
      </c>
      <c r="C292" s="2">
        <v>4</v>
      </c>
      <c r="D292" s="2">
        <v>0.3</v>
      </c>
      <c r="E292" s="2">
        <v>1</v>
      </c>
      <c r="F292" s="2" t="str">
        <f t="shared" si="5"/>
        <v>0th</v>
      </c>
    </row>
    <row r="293" spans="1:6" x14ac:dyDescent="0.2">
      <c r="A293" s="2" t="s">
        <v>112</v>
      </c>
      <c r="B293" s="2" t="s">
        <v>5</v>
      </c>
      <c r="C293" s="2">
        <v>5</v>
      </c>
      <c r="D293" s="2">
        <v>0.3</v>
      </c>
      <c r="E293" s="2">
        <v>1</v>
      </c>
      <c r="F293" s="2" t="str">
        <f t="shared" si="5"/>
        <v>0th</v>
      </c>
    </row>
    <row r="294" spans="1:6" x14ac:dyDescent="0.2">
      <c r="A294" s="2" t="s">
        <v>112</v>
      </c>
      <c r="B294" s="2" t="s">
        <v>5</v>
      </c>
      <c r="C294" s="2">
        <v>6</v>
      </c>
      <c r="D294" s="2">
        <v>0.3</v>
      </c>
      <c r="E294" s="2">
        <v>1</v>
      </c>
      <c r="F294" s="2" t="str">
        <f t="shared" si="5"/>
        <v>0th</v>
      </c>
    </row>
    <row r="295" spans="1:6" x14ac:dyDescent="0.2">
      <c r="A295" s="2" t="s">
        <v>112</v>
      </c>
      <c r="B295" s="2" t="s">
        <v>5</v>
      </c>
      <c r="C295" s="2">
        <v>7</v>
      </c>
      <c r="D295" s="2">
        <v>0.3</v>
      </c>
      <c r="E295" s="2">
        <v>1</v>
      </c>
      <c r="F295" s="2" t="str">
        <f t="shared" ref="F295:F340" si="6">IF(RIGHT(ROUND(D295,0),2)="13",ROUND(D295,0)&amp;"th",IF(RIGHT(ROUND(D295,0),2)="12",ROUND(D295,0)&amp;"th",IF(RIGHT(ROUND(D295,0),2)="11",ROUND(D295,0)&amp;"th",IF(RIGHT(ROUND(D295,0),1)="1",ROUND(D295,0)&amp;"st",IF(RIGHT(ROUND(D295,0),1)="2",ROUND(D295,0)&amp;"nd",IF(RIGHT(ROUND(D295,0),1)="3",ROUND(D295,0)&amp;"rd",ROUND(D295,0)&amp;"th"))))))</f>
        <v>0th</v>
      </c>
    </row>
    <row r="296" spans="1:6" x14ac:dyDescent="0.2">
      <c r="A296" s="2" t="s">
        <v>112</v>
      </c>
      <c r="B296" s="2" t="s">
        <v>5</v>
      </c>
      <c r="C296" s="2">
        <v>8</v>
      </c>
      <c r="D296" s="2">
        <v>0.3</v>
      </c>
      <c r="E296" s="2">
        <v>1</v>
      </c>
      <c r="F296" s="2" t="str">
        <f t="shared" si="6"/>
        <v>0th</v>
      </c>
    </row>
    <row r="297" spans="1:6" x14ac:dyDescent="0.2">
      <c r="A297" s="2" t="s">
        <v>112</v>
      </c>
      <c r="B297" s="2" t="s">
        <v>5</v>
      </c>
      <c r="C297" s="2">
        <v>9</v>
      </c>
      <c r="D297" s="2">
        <v>0.3</v>
      </c>
      <c r="E297" s="2">
        <v>1</v>
      </c>
      <c r="F297" s="2" t="str">
        <f t="shared" si="6"/>
        <v>0th</v>
      </c>
    </row>
    <row r="298" spans="1:6" x14ac:dyDescent="0.2">
      <c r="A298" s="2" t="s">
        <v>112</v>
      </c>
      <c r="B298" s="2" t="s">
        <v>5</v>
      </c>
      <c r="C298" s="2">
        <v>10</v>
      </c>
      <c r="D298" s="2">
        <v>0.3</v>
      </c>
      <c r="E298" s="2">
        <v>1</v>
      </c>
      <c r="F298" s="2" t="str">
        <f t="shared" si="6"/>
        <v>0th</v>
      </c>
    </row>
    <row r="299" spans="1:6" x14ac:dyDescent="0.2">
      <c r="A299" s="2" t="s">
        <v>112</v>
      </c>
      <c r="B299" s="2" t="s">
        <v>5</v>
      </c>
      <c r="C299" s="2">
        <v>11</v>
      </c>
      <c r="D299" s="2">
        <v>1.1000000000000001</v>
      </c>
      <c r="E299" s="2">
        <v>2</v>
      </c>
      <c r="F299" s="2" t="str">
        <f t="shared" si="6"/>
        <v>1st</v>
      </c>
    </row>
    <row r="300" spans="1:6" x14ac:dyDescent="0.2">
      <c r="A300" s="2" t="s">
        <v>112</v>
      </c>
      <c r="B300" s="2" t="s">
        <v>5</v>
      </c>
      <c r="C300" s="2">
        <v>12</v>
      </c>
      <c r="D300" s="2">
        <v>1.1000000000000001</v>
      </c>
      <c r="E300" s="2">
        <v>2</v>
      </c>
      <c r="F300" s="2" t="str">
        <f t="shared" si="6"/>
        <v>1st</v>
      </c>
    </row>
    <row r="301" spans="1:6" x14ac:dyDescent="0.2">
      <c r="A301" s="2" t="s">
        <v>112</v>
      </c>
      <c r="B301" s="2" t="s">
        <v>5</v>
      </c>
      <c r="C301" s="2">
        <v>13</v>
      </c>
      <c r="D301" s="2">
        <v>1.1000000000000001</v>
      </c>
      <c r="E301" s="2">
        <v>2</v>
      </c>
      <c r="F301" s="2" t="str">
        <f t="shared" si="6"/>
        <v>1st</v>
      </c>
    </row>
    <row r="302" spans="1:6" x14ac:dyDescent="0.2">
      <c r="A302" s="2" t="s">
        <v>112</v>
      </c>
      <c r="B302" s="2" t="s">
        <v>5</v>
      </c>
      <c r="C302" s="2">
        <v>14</v>
      </c>
      <c r="D302" s="2">
        <v>1.1000000000000001</v>
      </c>
      <c r="E302" s="2">
        <v>2</v>
      </c>
      <c r="F302" s="2" t="str">
        <f t="shared" si="6"/>
        <v>1st</v>
      </c>
    </row>
    <row r="303" spans="1:6" x14ac:dyDescent="0.2">
      <c r="A303" s="2" t="s">
        <v>112</v>
      </c>
      <c r="B303" s="2" t="s">
        <v>5</v>
      </c>
      <c r="C303" s="2">
        <v>15</v>
      </c>
      <c r="D303" s="2">
        <v>2.4</v>
      </c>
      <c r="E303" s="2">
        <v>3</v>
      </c>
      <c r="F303" s="2" t="str">
        <f t="shared" si="6"/>
        <v>2nd</v>
      </c>
    </row>
    <row r="304" spans="1:6" x14ac:dyDescent="0.2">
      <c r="A304" s="2" t="s">
        <v>112</v>
      </c>
      <c r="B304" s="2" t="s">
        <v>5</v>
      </c>
      <c r="C304" s="2">
        <v>16</v>
      </c>
      <c r="D304" s="2">
        <v>2.4</v>
      </c>
      <c r="E304" s="2">
        <v>3</v>
      </c>
      <c r="F304" s="2" t="str">
        <f t="shared" si="6"/>
        <v>2nd</v>
      </c>
    </row>
    <row r="305" spans="1:6" x14ac:dyDescent="0.2">
      <c r="A305" s="2" t="s">
        <v>112</v>
      </c>
      <c r="B305" s="2" t="s">
        <v>5</v>
      </c>
      <c r="C305" s="2">
        <v>17</v>
      </c>
      <c r="D305" s="2">
        <v>2.4</v>
      </c>
      <c r="E305" s="2">
        <v>3</v>
      </c>
      <c r="F305" s="2" t="str">
        <f t="shared" si="6"/>
        <v>2nd</v>
      </c>
    </row>
    <row r="306" spans="1:6" x14ac:dyDescent="0.2">
      <c r="A306" s="2" t="s">
        <v>112</v>
      </c>
      <c r="B306" s="2" t="s">
        <v>5</v>
      </c>
      <c r="C306" s="2">
        <v>18</v>
      </c>
      <c r="D306" s="2">
        <v>4.9000000000000004</v>
      </c>
      <c r="E306" s="2">
        <v>4</v>
      </c>
      <c r="F306" s="2" t="str">
        <f t="shared" si="6"/>
        <v>5th</v>
      </c>
    </row>
    <row r="307" spans="1:6" x14ac:dyDescent="0.2">
      <c r="A307" s="2" t="s">
        <v>112</v>
      </c>
      <c r="B307" s="2" t="s">
        <v>5</v>
      </c>
      <c r="C307" s="2">
        <v>19</v>
      </c>
      <c r="D307" s="2">
        <v>4.9000000000000004</v>
      </c>
      <c r="E307" s="2">
        <v>4</v>
      </c>
      <c r="F307" s="2" t="str">
        <f t="shared" si="6"/>
        <v>5th</v>
      </c>
    </row>
    <row r="308" spans="1:6" x14ac:dyDescent="0.2">
      <c r="A308" s="2" t="s">
        <v>112</v>
      </c>
      <c r="B308" s="2" t="s">
        <v>5</v>
      </c>
      <c r="C308" s="2">
        <v>20</v>
      </c>
      <c r="D308" s="2">
        <v>4.9000000000000004</v>
      </c>
      <c r="E308" s="2">
        <v>4</v>
      </c>
      <c r="F308" s="2" t="str">
        <f t="shared" si="6"/>
        <v>5th</v>
      </c>
    </row>
    <row r="309" spans="1:6" x14ac:dyDescent="0.2">
      <c r="A309" s="2" t="s">
        <v>112</v>
      </c>
      <c r="B309" s="2" t="s">
        <v>5</v>
      </c>
      <c r="C309" s="2">
        <v>21</v>
      </c>
      <c r="D309" s="2">
        <v>8.5</v>
      </c>
      <c r="E309" s="2">
        <v>5</v>
      </c>
      <c r="F309" s="2" t="str">
        <f t="shared" si="6"/>
        <v>9th</v>
      </c>
    </row>
    <row r="310" spans="1:6" x14ac:dyDescent="0.2">
      <c r="A310" s="2" t="s">
        <v>112</v>
      </c>
      <c r="B310" s="2" t="s">
        <v>5</v>
      </c>
      <c r="C310" s="2">
        <v>22</v>
      </c>
      <c r="D310" s="2">
        <v>8.5</v>
      </c>
      <c r="E310" s="2">
        <v>5</v>
      </c>
      <c r="F310" s="2" t="str">
        <f t="shared" si="6"/>
        <v>9th</v>
      </c>
    </row>
    <row r="311" spans="1:6" x14ac:dyDescent="0.2">
      <c r="A311" s="2" t="s">
        <v>112</v>
      </c>
      <c r="B311" s="2" t="s">
        <v>5</v>
      </c>
      <c r="C311" s="2">
        <v>23</v>
      </c>
      <c r="D311" s="2">
        <v>8.5</v>
      </c>
      <c r="E311" s="2">
        <v>5</v>
      </c>
      <c r="F311" s="2" t="str">
        <f t="shared" si="6"/>
        <v>9th</v>
      </c>
    </row>
    <row r="312" spans="1:6" x14ac:dyDescent="0.2">
      <c r="A312" s="2" t="s">
        <v>112</v>
      </c>
      <c r="B312" s="2" t="s">
        <v>5</v>
      </c>
      <c r="C312" s="2">
        <v>24</v>
      </c>
      <c r="D312" s="2">
        <v>14.1</v>
      </c>
      <c r="E312" s="2">
        <v>6</v>
      </c>
      <c r="F312" s="2" t="str">
        <f t="shared" si="6"/>
        <v>14th</v>
      </c>
    </row>
    <row r="313" spans="1:6" x14ac:dyDescent="0.2">
      <c r="A313" s="2" t="s">
        <v>112</v>
      </c>
      <c r="B313" s="2" t="s">
        <v>5</v>
      </c>
      <c r="C313" s="2">
        <v>25</v>
      </c>
      <c r="D313" s="2">
        <v>14.1</v>
      </c>
      <c r="E313" s="2">
        <v>6</v>
      </c>
      <c r="F313" s="2" t="str">
        <f t="shared" si="6"/>
        <v>14th</v>
      </c>
    </row>
    <row r="314" spans="1:6" x14ac:dyDescent="0.2">
      <c r="A314" s="2" t="s">
        <v>112</v>
      </c>
      <c r="B314" s="2" t="s">
        <v>5</v>
      </c>
      <c r="C314" s="2">
        <v>26</v>
      </c>
      <c r="D314" s="2">
        <v>14.1</v>
      </c>
      <c r="E314" s="2">
        <v>6</v>
      </c>
      <c r="F314" s="2" t="str">
        <f t="shared" si="6"/>
        <v>14th</v>
      </c>
    </row>
    <row r="315" spans="1:6" x14ac:dyDescent="0.2">
      <c r="A315" s="2" t="s">
        <v>112</v>
      </c>
      <c r="B315" s="2" t="s">
        <v>5</v>
      </c>
      <c r="C315" s="2">
        <v>27</v>
      </c>
      <c r="D315" s="2">
        <v>21.6</v>
      </c>
      <c r="E315" s="2">
        <v>7</v>
      </c>
      <c r="F315" s="2" t="str">
        <f t="shared" si="6"/>
        <v>22nd</v>
      </c>
    </row>
    <row r="316" spans="1:6" x14ac:dyDescent="0.2">
      <c r="A316" s="2" t="s">
        <v>112</v>
      </c>
      <c r="B316" s="2" t="s">
        <v>5</v>
      </c>
      <c r="C316" s="2">
        <v>28</v>
      </c>
      <c r="D316" s="2">
        <v>21.6</v>
      </c>
      <c r="E316" s="2">
        <v>7</v>
      </c>
      <c r="F316" s="2" t="str">
        <f t="shared" si="6"/>
        <v>22nd</v>
      </c>
    </row>
    <row r="317" spans="1:6" x14ac:dyDescent="0.2">
      <c r="A317" s="2" t="s">
        <v>112</v>
      </c>
      <c r="B317" s="2" t="s">
        <v>5</v>
      </c>
      <c r="C317" s="2">
        <v>29</v>
      </c>
      <c r="D317" s="2">
        <v>21.6</v>
      </c>
      <c r="E317" s="2">
        <v>7</v>
      </c>
      <c r="F317" s="2" t="str">
        <f t="shared" si="6"/>
        <v>22nd</v>
      </c>
    </row>
    <row r="318" spans="1:6" x14ac:dyDescent="0.2">
      <c r="A318" s="2" t="s">
        <v>112</v>
      </c>
      <c r="B318" s="2" t="s">
        <v>5</v>
      </c>
      <c r="C318" s="2">
        <v>30</v>
      </c>
      <c r="D318" s="2">
        <v>33.200000000000003</v>
      </c>
      <c r="E318" s="2">
        <v>8</v>
      </c>
      <c r="F318" s="2" t="str">
        <f t="shared" si="6"/>
        <v>33rd</v>
      </c>
    </row>
    <row r="319" spans="1:6" x14ac:dyDescent="0.2">
      <c r="A319" s="2" t="s">
        <v>112</v>
      </c>
      <c r="B319" s="2" t="s">
        <v>5</v>
      </c>
      <c r="C319" s="2">
        <v>31</v>
      </c>
      <c r="D319" s="2">
        <v>33.200000000000003</v>
      </c>
      <c r="E319" s="2">
        <v>8</v>
      </c>
      <c r="F319" s="2" t="str">
        <f t="shared" si="6"/>
        <v>33rd</v>
      </c>
    </row>
    <row r="320" spans="1:6" x14ac:dyDescent="0.2">
      <c r="A320" s="2" t="s">
        <v>112</v>
      </c>
      <c r="B320" s="2" t="s">
        <v>5</v>
      </c>
      <c r="C320" s="2">
        <v>32</v>
      </c>
      <c r="D320" s="2">
        <v>33.200000000000003</v>
      </c>
      <c r="E320" s="2">
        <v>8</v>
      </c>
      <c r="F320" s="2" t="str">
        <f t="shared" si="6"/>
        <v>33rd</v>
      </c>
    </row>
    <row r="321" spans="1:6" x14ac:dyDescent="0.2">
      <c r="A321" s="2" t="s">
        <v>112</v>
      </c>
      <c r="B321" s="2" t="s">
        <v>5</v>
      </c>
      <c r="C321" s="2">
        <v>33</v>
      </c>
      <c r="D321" s="2">
        <v>49.3</v>
      </c>
      <c r="E321" s="2">
        <v>9</v>
      </c>
      <c r="F321" s="2" t="str">
        <f t="shared" si="6"/>
        <v>49th</v>
      </c>
    </row>
    <row r="322" spans="1:6" x14ac:dyDescent="0.2">
      <c r="A322" s="2" t="s">
        <v>112</v>
      </c>
      <c r="B322" s="2" t="s">
        <v>5</v>
      </c>
      <c r="C322" s="2">
        <v>34</v>
      </c>
      <c r="D322" s="2">
        <v>49.3</v>
      </c>
      <c r="E322" s="2">
        <v>9</v>
      </c>
      <c r="F322" s="2" t="str">
        <f t="shared" si="6"/>
        <v>49th</v>
      </c>
    </row>
    <row r="323" spans="1:6" x14ac:dyDescent="0.2">
      <c r="A323" s="2" t="s">
        <v>112</v>
      </c>
      <c r="B323" s="2" t="s">
        <v>5</v>
      </c>
      <c r="C323" s="2">
        <v>35</v>
      </c>
      <c r="D323" s="2">
        <v>49.3</v>
      </c>
      <c r="E323" s="2">
        <v>9</v>
      </c>
      <c r="F323" s="2" t="str">
        <f t="shared" si="6"/>
        <v>49th</v>
      </c>
    </row>
    <row r="324" spans="1:6" x14ac:dyDescent="0.2">
      <c r="A324" s="2" t="s">
        <v>112</v>
      </c>
      <c r="B324" s="2" t="s">
        <v>5</v>
      </c>
      <c r="C324" s="2">
        <v>36</v>
      </c>
      <c r="D324" s="2">
        <v>66.8</v>
      </c>
      <c r="E324" s="2">
        <v>10</v>
      </c>
      <c r="F324" s="2" t="str">
        <f t="shared" si="6"/>
        <v>67th</v>
      </c>
    </row>
    <row r="325" spans="1:6" x14ac:dyDescent="0.2">
      <c r="A325" s="2" t="s">
        <v>112</v>
      </c>
      <c r="B325" s="2" t="s">
        <v>5</v>
      </c>
      <c r="C325" s="2">
        <v>37</v>
      </c>
      <c r="D325" s="2">
        <v>66.8</v>
      </c>
      <c r="E325" s="2">
        <v>10</v>
      </c>
      <c r="F325" s="2" t="str">
        <f t="shared" si="6"/>
        <v>67th</v>
      </c>
    </row>
    <row r="326" spans="1:6" x14ac:dyDescent="0.2">
      <c r="A326" s="2" t="s">
        <v>112</v>
      </c>
      <c r="B326" s="2" t="s">
        <v>5</v>
      </c>
      <c r="C326" s="2">
        <v>38</v>
      </c>
      <c r="D326" s="2">
        <v>66.8</v>
      </c>
      <c r="E326" s="2">
        <v>10</v>
      </c>
      <c r="F326" s="2" t="str">
        <f t="shared" si="6"/>
        <v>67th</v>
      </c>
    </row>
    <row r="327" spans="1:6" x14ac:dyDescent="0.2">
      <c r="A327" s="2" t="s">
        <v>112</v>
      </c>
      <c r="B327" s="2" t="s">
        <v>5</v>
      </c>
      <c r="C327" s="2">
        <v>39</v>
      </c>
      <c r="D327" s="2">
        <v>81.900000000000006</v>
      </c>
      <c r="E327" s="2">
        <v>11</v>
      </c>
      <c r="F327" s="2" t="str">
        <f t="shared" si="6"/>
        <v>82nd</v>
      </c>
    </row>
    <row r="328" spans="1:6" x14ac:dyDescent="0.2">
      <c r="A328" s="2" t="s">
        <v>112</v>
      </c>
      <c r="B328" s="2" t="s">
        <v>5</v>
      </c>
      <c r="C328" s="2">
        <v>40</v>
      </c>
      <c r="D328" s="2">
        <v>81.900000000000006</v>
      </c>
      <c r="E328" s="2">
        <v>11</v>
      </c>
      <c r="F328" s="2" t="str">
        <f t="shared" si="6"/>
        <v>82nd</v>
      </c>
    </row>
    <row r="329" spans="1:6" x14ac:dyDescent="0.2">
      <c r="A329" s="2" t="s">
        <v>112</v>
      </c>
      <c r="B329" s="2" t="s">
        <v>5</v>
      </c>
      <c r="C329" s="2">
        <v>41</v>
      </c>
      <c r="D329" s="2">
        <v>81.900000000000006</v>
      </c>
      <c r="E329" s="2">
        <v>11</v>
      </c>
      <c r="F329" s="2" t="str">
        <f t="shared" si="6"/>
        <v>82nd</v>
      </c>
    </row>
    <row r="330" spans="1:6" x14ac:dyDescent="0.2">
      <c r="A330" s="2" t="s">
        <v>112</v>
      </c>
      <c r="B330" s="2" t="s">
        <v>5</v>
      </c>
      <c r="C330" s="2">
        <v>42</v>
      </c>
      <c r="D330" s="2">
        <v>91.4</v>
      </c>
      <c r="E330" s="2">
        <v>12</v>
      </c>
      <c r="F330" s="2" t="str">
        <f t="shared" si="6"/>
        <v>91st</v>
      </c>
    </row>
    <row r="331" spans="1:6" x14ac:dyDescent="0.2">
      <c r="A331" s="2" t="s">
        <v>112</v>
      </c>
      <c r="B331" s="2" t="s">
        <v>5</v>
      </c>
      <c r="C331" s="2">
        <v>43</v>
      </c>
      <c r="D331" s="2">
        <v>91.4</v>
      </c>
      <c r="E331" s="2">
        <v>12</v>
      </c>
      <c r="F331" s="2" t="str">
        <f t="shared" si="6"/>
        <v>91st</v>
      </c>
    </row>
    <row r="332" spans="1:6" x14ac:dyDescent="0.2">
      <c r="A332" s="2" t="s">
        <v>112</v>
      </c>
      <c r="B332" s="2" t="s">
        <v>5</v>
      </c>
      <c r="C332" s="2">
        <v>44</v>
      </c>
      <c r="D332" s="2">
        <v>91.4</v>
      </c>
      <c r="E332" s="2">
        <v>12</v>
      </c>
      <c r="F332" s="2" t="str">
        <f t="shared" si="6"/>
        <v>91st</v>
      </c>
    </row>
    <row r="333" spans="1:6" x14ac:dyDescent="0.2">
      <c r="A333" s="2" t="s">
        <v>112</v>
      </c>
      <c r="B333" s="2" t="s">
        <v>5</v>
      </c>
      <c r="C333" s="2">
        <v>45</v>
      </c>
      <c r="D333" s="2">
        <v>96.5</v>
      </c>
      <c r="E333" s="2">
        <v>13</v>
      </c>
      <c r="F333" s="2" t="str">
        <f t="shared" si="6"/>
        <v>97th</v>
      </c>
    </row>
    <row r="334" spans="1:6" x14ac:dyDescent="0.2">
      <c r="A334" s="2" t="s">
        <v>112</v>
      </c>
      <c r="B334" s="2" t="s">
        <v>5</v>
      </c>
      <c r="C334" s="2">
        <v>46</v>
      </c>
      <c r="D334" s="2">
        <v>96.5</v>
      </c>
      <c r="E334" s="2">
        <v>13</v>
      </c>
      <c r="F334" s="2" t="str">
        <f t="shared" si="6"/>
        <v>97th</v>
      </c>
    </row>
    <row r="335" spans="1:6" x14ac:dyDescent="0.2">
      <c r="A335" s="2" t="s">
        <v>112</v>
      </c>
      <c r="B335" s="2" t="s">
        <v>5</v>
      </c>
      <c r="C335" s="2">
        <v>47</v>
      </c>
      <c r="D335" s="2">
        <v>96.5</v>
      </c>
      <c r="E335" s="2">
        <v>13</v>
      </c>
      <c r="F335" s="2" t="str">
        <f t="shared" si="6"/>
        <v>97th</v>
      </c>
    </row>
    <row r="336" spans="1:6" x14ac:dyDescent="0.2">
      <c r="A336" s="2" t="s">
        <v>112</v>
      </c>
      <c r="B336" s="2" t="s">
        <v>5</v>
      </c>
      <c r="C336" s="2">
        <v>48</v>
      </c>
      <c r="D336" s="2">
        <v>96.5</v>
      </c>
      <c r="E336" s="2">
        <v>13</v>
      </c>
      <c r="F336" s="2" t="str">
        <f t="shared" si="6"/>
        <v>97th</v>
      </c>
    </row>
    <row r="337" spans="1:6" x14ac:dyDescent="0.2">
      <c r="A337" s="2" t="s">
        <v>112</v>
      </c>
      <c r="B337" s="2" t="s">
        <v>5</v>
      </c>
      <c r="C337" s="2">
        <v>49</v>
      </c>
      <c r="D337" s="2">
        <v>99</v>
      </c>
      <c r="E337" s="2">
        <v>14</v>
      </c>
      <c r="F337" s="2" t="str">
        <f t="shared" si="6"/>
        <v>99th</v>
      </c>
    </row>
    <row r="338" spans="1:6" x14ac:dyDescent="0.2">
      <c r="A338" s="2" t="s">
        <v>112</v>
      </c>
      <c r="B338" s="2" t="s">
        <v>5</v>
      </c>
      <c r="C338" s="2">
        <v>50</v>
      </c>
      <c r="D338" s="2">
        <v>99</v>
      </c>
      <c r="E338" s="2">
        <v>14</v>
      </c>
      <c r="F338" s="2" t="str">
        <f t="shared" si="6"/>
        <v>99th</v>
      </c>
    </row>
    <row r="339" spans="1:6" x14ac:dyDescent="0.2">
      <c r="A339" s="2" t="s">
        <v>112</v>
      </c>
      <c r="B339" s="2" t="s">
        <v>5</v>
      </c>
      <c r="C339" s="2">
        <v>51</v>
      </c>
      <c r="D339" s="2">
        <v>99.9</v>
      </c>
      <c r="E339" s="2">
        <v>15</v>
      </c>
      <c r="F339" s="2" t="str">
        <f t="shared" si="6"/>
        <v>100th</v>
      </c>
    </row>
    <row r="340" spans="1:6" x14ac:dyDescent="0.2">
      <c r="A340" s="2" t="s">
        <v>112</v>
      </c>
      <c r="B340" s="2" t="s">
        <v>5</v>
      </c>
      <c r="C340" s="2">
        <v>52</v>
      </c>
      <c r="D340" s="2">
        <v>99.9</v>
      </c>
      <c r="E340" s="2">
        <v>15</v>
      </c>
      <c r="F340" s="2" t="str">
        <f t="shared" si="6"/>
        <v>100th</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
  <sheetViews>
    <sheetView workbookViewId="0">
      <selection activeCell="A3" sqref="A3:XFD3"/>
    </sheetView>
  </sheetViews>
  <sheetFormatPr defaultRowHeight="15" x14ac:dyDescent="0.25"/>
  <cols>
    <col min="1" max="1" width="15" style="1" customWidth="1" collapsed="1"/>
    <col min="2" max="2" width="19" style="1" customWidth="1" collapsed="1"/>
    <col min="3" max="3" width="33.42578125" style="1" customWidth="1" collapsed="1"/>
    <col min="4" max="4" width="9.42578125" style="1" customWidth="1" collapsed="1"/>
    <col min="5" max="5" width="9.140625" style="1" customWidth="1" collapsed="1"/>
    <col min="6" max="6" width="32.140625" style="1" customWidth="1" collapsed="1"/>
    <col min="7" max="7" width="9.140625" style="1" customWidth="1" collapsed="1"/>
    <col min="8" max="8" width="31.42578125" style="1" customWidth="1" collapsed="1"/>
    <col min="9" max="9" width="9.140625" style="1" customWidth="1" collapsed="1"/>
    <col min="10" max="10" width="32.5703125" style="1" customWidth="1" collapsed="1"/>
    <col min="11" max="11" width="9.140625" style="1" customWidth="1" collapsed="1"/>
    <col min="12" max="12" width="32.5703125" style="1" customWidth="1" collapsed="1"/>
    <col min="13" max="13" width="30.5703125" style="1" customWidth="1" collapsed="1"/>
    <col min="14" max="14" width="28.140625" style="1" customWidth="1" collapsed="1"/>
    <col min="15" max="15" width="18.85546875" customWidth="1" collapsed="1"/>
  </cols>
  <sheetData>
    <row r="1" spans="1:16" s="15" customFormat="1" ht="23.25" x14ac:dyDescent="0.25">
      <c r="A1" s="14" t="s">
        <v>73</v>
      </c>
      <c r="B1" s="14" t="s">
        <v>66</v>
      </c>
      <c r="C1" s="14" t="s">
        <v>74</v>
      </c>
      <c r="D1" s="14" t="s">
        <v>67</v>
      </c>
      <c r="E1" s="14" t="s">
        <v>76</v>
      </c>
      <c r="F1" s="14" t="s">
        <v>70</v>
      </c>
      <c r="G1" s="14" t="s">
        <v>77</v>
      </c>
      <c r="H1" s="14" t="s">
        <v>69</v>
      </c>
      <c r="I1" s="14" t="s">
        <v>78</v>
      </c>
      <c r="J1" s="14" t="s">
        <v>68</v>
      </c>
      <c r="K1" s="14" t="s">
        <v>79</v>
      </c>
      <c r="L1" s="14" t="s">
        <v>72</v>
      </c>
      <c r="M1" s="14" t="s">
        <v>75</v>
      </c>
      <c r="N1" s="14" t="s">
        <v>71</v>
      </c>
      <c r="O1" s="14" t="s">
        <v>90</v>
      </c>
      <c r="P1" s="14" t="s">
        <v>92</v>
      </c>
    </row>
    <row r="2" spans="1:16" ht="113.25" x14ac:dyDescent="0.25">
      <c r="A2" s="1" t="s">
        <v>111</v>
      </c>
      <c r="B2" s="1" t="s">
        <v>164</v>
      </c>
      <c r="C2" s="1" t="s">
        <v>856</v>
      </c>
      <c r="D2" s="1">
        <v>3</v>
      </c>
      <c r="E2" s="1" t="s">
        <v>59</v>
      </c>
      <c r="F2" s="1" t="s">
        <v>87</v>
      </c>
      <c r="G2" s="1" t="s">
        <v>57</v>
      </c>
      <c r="H2" s="1" t="s">
        <v>857</v>
      </c>
      <c r="I2" s="1" t="s">
        <v>58</v>
      </c>
      <c r="J2" s="1" t="s">
        <v>88</v>
      </c>
      <c r="M2" s="1" t="s">
        <v>858</v>
      </c>
      <c r="N2" s="1" t="s">
        <v>859</v>
      </c>
      <c r="O2" s="1" t="s">
        <v>860</v>
      </c>
      <c r="P2" s="1" t="s">
        <v>91</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FL10</vt:lpstr>
      <vt:lpstr>FL10_QA</vt:lpstr>
      <vt:lpstr>ItemReview</vt:lpstr>
      <vt:lpstr>Translation</vt:lpstr>
      <vt:lpstr>Test_Directions</vt:lpstr>
    </vt:vector>
  </TitlesOfParts>
  <Company>Marlabs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Sivaprasanna Vanapalli</dc:creator>
  <cp:lastModifiedBy>SivaPrasanna Vanapalli</cp:lastModifiedBy>
  <dcterms:created xsi:type="dcterms:W3CDTF">2013-07-24T14:56:46Z</dcterms:created>
  <dcterms:modified xsi:type="dcterms:W3CDTF">2014-06-27T19:27:08Z</dcterms:modified>
</cp:coreProperties>
</file>